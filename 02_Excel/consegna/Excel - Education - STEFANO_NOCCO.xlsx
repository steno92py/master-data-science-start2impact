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steno\Downloads\"/>
    </mc:Choice>
  </mc:AlternateContent>
  <xr:revisionPtr revIDLastSave="0" documentId="13_ncr:1_{819C69A0-3E92-4579-8E79-D2BD4B56D239}" xr6:coauthVersionLast="47" xr6:coauthVersionMax="47" xr10:uidLastSave="{00000000-0000-0000-0000-000000000000}"/>
  <bookViews>
    <workbookView xWindow="2190" yWindow="1125" windowWidth="40425" windowHeight="19755" tabRatio="464" xr2:uid="{00000000-000D-0000-FFFF-FFFF00000000}"/>
  </bookViews>
  <sheets>
    <sheet name="Education Web App Elementari" sheetId="1" r:id="rId1"/>
    <sheet name="Città" sheetId="2" r:id="rId2"/>
    <sheet name="Tabella Pivot" sheetId="3" r:id="rId3"/>
  </sheets>
  <definedNames>
    <definedName name="_xlnm._FilterDatabase" localSheetId="0" hidden="1">'Education Web App Elementari'!$A$1:$G$26</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1" l="1"/>
  <c r="J15" i="1"/>
  <c r="J11" i="1"/>
  <c r="J10" i="1"/>
  <c r="J6" i="1"/>
  <c r="J7" i="1"/>
  <c r="G11" i="1"/>
  <c r="G26" i="1"/>
  <c r="G8" i="1"/>
  <c r="G14" i="1"/>
  <c r="G7" i="1"/>
  <c r="G3" i="1"/>
  <c r="G5" i="1"/>
  <c r="G12" i="1"/>
  <c r="G21" i="1"/>
  <c r="G15" i="1"/>
  <c r="G18" i="1"/>
  <c r="G4" i="1"/>
  <c r="G25" i="1"/>
  <c r="G6" i="1"/>
  <c r="G19" i="1"/>
  <c r="G9" i="1"/>
  <c r="G13" i="1"/>
  <c r="G10" i="1"/>
  <c r="G23" i="1"/>
  <c r="G16" i="1"/>
  <c r="G2" i="1"/>
  <c r="G20" i="1"/>
  <c r="G17" i="1"/>
  <c r="G24" i="1"/>
  <c r="G22" i="1"/>
  <c r="F11" i="1"/>
  <c r="F26" i="1"/>
  <c r="F8" i="1"/>
  <c r="F14" i="1"/>
  <c r="F7" i="1"/>
  <c r="F3" i="1"/>
  <c r="F5" i="1"/>
  <c r="F12" i="1"/>
  <c r="F21" i="1"/>
  <c r="F15" i="1"/>
  <c r="F18" i="1"/>
  <c r="F4" i="1"/>
  <c r="F25" i="1"/>
  <c r="F6" i="1"/>
  <c r="F19" i="1"/>
  <c r="F9" i="1"/>
  <c r="F13" i="1"/>
  <c r="F10" i="1"/>
  <c r="F23" i="1"/>
  <c r="F16" i="1"/>
  <c r="F2" i="1"/>
  <c r="F20" i="1"/>
  <c r="F17" i="1"/>
  <c r="F24" i="1"/>
  <c r="F22" i="1"/>
  <c r="J12" i="1"/>
  <c r="J2" i="1" a="1"/>
  <c r="J2" i="1" s="1"/>
  <c r="J14" i="1"/>
  <c r="J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<sst xmlns="http://schemas.openxmlformats.org/spreadsheetml/2006/main" count="168" uniqueCount="82">
  <si>
    <t># Fattura</t>
  </si>
  <si>
    <t>Provincia</t>
  </si>
  <si>
    <t>Mese</t>
  </si>
  <si>
    <t>Importo Fattura</t>
  </si>
  <si>
    <t>Materia</t>
  </si>
  <si>
    <t>Città</t>
  </si>
  <si>
    <t>Domanda</t>
  </si>
  <si>
    <t>Risposta</t>
  </si>
  <si>
    <t>Roma</t>
  </si>
  <si>
    <t>gennaio</t>
  </si>
  <si>
    <t>Geografia</t>
  </si>
  <si>
    <t>Come si chiama questo foglio?</t>
  </si>
  <si>
    <t>Matematica</t>
  </si>
  <si>
    <t>Qual è una qualunque colonna non vuota in questo foglio?</t>
  </si>
  <si>
    <t>Qual è una qualunque riga non vuota in questo foglio?</t>
  </si>
  <si>
    <t>febbraio</t>
  </si>
  <si>
    <t>Scienze</t>
  </si>
  <si>
    <t>Qual è una qualunque cella non vuota in questo foglio?</t>
  </si>
  <si>
    <t>Rieti</t>
  </si>
  <si>
    <t>Inglese</t>
  </si>
  <si>
    <t>Qual è il totale delle vendite? (usa una funzione per stabilirlo)</t>
  </si>
  <si>
    <t>marzo</t>
  </si>
  <si>
    <t>Storia</t>
  </si>
  <si>
    <t>Qual è il totale delle vendite per il mese di giugno? (anche qui usa una funzione)</t>
  </si>
  <si>
    <t>Ordina le righe in ordine dall’importo più alto al più basso. Qual è la provincia alla riga 15?</t>
  </si>
  <si>
    <t>aprile</t>
  </si>
  <si>
    <t>Usa la formattazione condizionale ed evidenziate tutti i valori maggiori di 100 nella colonna degli importi.</t>
  </si>
  <si>
    <t>Quanti sono i valori evidenziati?</t>
  </si>
  <si>
    <t>Quante vendite sono state fatte a Milano? (numero delle vendite) (usa una funzione)</t>
  </si>
  <si>
    <t>Quante vendite sono state fatte a Roma ad aprile? (numero delle vendite) (usa una formula simile ma un po’ più complessa)</t>
  </si>
  <si>
    <t>Quanti corsi di Geografia (somma dell'importo) sono stati venduti a gennaio?</t>
  </si>
  <si>
    <t>Qual è l'importo medio di una fattura? (usa una funzione per calcolarlo)</t>
  </si>
  <si>
    <t>maggio</t>
  </si>
  <si>
    <t>Qual è l'importo medio di una fattura se consideriamo soltanto gli scontrini maggiori di €20? (puoi arrotondare il risultato a due cifre decimali)</t>
  </si>
  <si>
    <t>Qual è l'importo medio di una fattura se consideriamo soltanto gli scontrini minori di €106? (puoi arrotondare il risultato a due cifre decimali)</t>
  </si>
  <si>
    <t>giugno</t>
  </si>
  <si>
    <t>Informatica</t>
  </si>
  <si>
    <t>Come vedrai, la colonna Città è vuota. Abbiamo però aggiunto i dati relativi alle città nel secondo foglio. Usa una funzione per popolare la colonna Città con i dati provenienti dal secondo foglio.</t>
  </si>
  <si>
    <t>Milano</t>
  </si>
  <si>
    <t>Aggiungi una colonna a destra di Città e chiamala Importo. Aggiungi poi una funzione che ci dia un risultato per ogni riga così che ogni importo maggiore di €63,91 ci restituisca il valore “Alto”, e ciascun importo minore di questa cifra ci restituisca il valore “Basso”.</t>
  </si>
  <si>
    <t>Crea una Tabella Pivot ed aggiungila in un terzo foglio. Aggiungi i mesi nelle righe, le materie nelle colonne e l’importo scontrino nei valori. Qual è il reparto che ha avuto più vendite? (lascia la tabella qui così saremo in grado di vederla)</t>
  </si>
  <si>
    <t>luglio</t>
  </si>
  <si>
    <t>Inserisci un grafico (quello che ritenete più adatto) per visualizzare le vendite su base mensile</t>
  </si>
  <si>
    <t>Napoli</t>
  </si>
  <si>
    <t>agosto</t>
  </si>
  <si>
    <t>Italiano</t>
  </si>
  <si>
    <t>Guardando il grafico, sai dire durante quale mese ci sono state più vendite?</t>
  </si>
  <si>
    <t>settembre</t>
  </si>
  <si>
    <t>Firenze</t>
  </si>
  <si>
    <t>novembre</t>
  </si>
  <si>
    <t>dicembre</t>
  </si>
  <si>
    <t>Note personali</t>
  </si>
  <si>
    <t>Funziona solo se il file è stato salvato almeno una volta</t>
  </si>
  <si>
    <t>Funzione CONTA.PIÙ.SE</t>
  </si>
  <si>
    <t>Funzione SOMMA.PIÙ.SE</t>
  </si>
  <si>
    <t>Funzione MEDIA.SE</t>
  </si>
  <si>
    <t>Importo</t>
  </si>
  <si>
    <t>Funzione SOMMA.SE</t>
  </si>
  <si>
    <t>Funzione SOMMA</t>
  </si>
  <si>
    <t xml:space="preserve">Ho applicato il filtro alle colonne e poi ordinato la colonna fattura in valori crescenti </t>
  </si>
  <si>
    <t>Fattura 10, 1, 20, 25, 14, 3</t>
  </si>
  <si>
    <t>Home&gt;Formattazione condizionale&gt;Regole Evidenziazione Celle&gt;Maggiore di 100</t>
  </si>
  <si>
    <t>Ho usato CONTA.SE(D:D; "&gt;100"), ma essendo pochi dati non era strettamente necessaria l'applicazione di tale formula</t>
  </si>
  <si>
    <t>Funzione CONTA.SE</t>
  </si>
  <si>
    <t>"=SE(D2&gt;63,91; "Alto"; "Basso")" per il primo record, poi si trascina e si applica ai successivi</t>
  </si>
  <si>
    <t>Funzione SE. Ho notato che 63,91 si riferisce all'importo medio. Ipoteticamente avremmo potuto modificare la funzione basandoci sulla cella relativo al calcolo della media, in questo modo: "=SE(D2&gt;$J$14; "Alto"; "Basso")"</t>
  </si>
  <si>
    <t>Totale complessivo</t>
  </si>
  <si>
    <t>Etichette di colonna</t>
  </si>
  <si>
    <t>Somma di Importo Fattura</t>
  </si>
  <si>
    <t>Inserita nel terzo foglio</t>
  </si>
  <si>
    <t>La Provincia di Roma [fattura 21 (55,10€)]</t>
  </si>
  <si>
    <t>Creato mediante Grafico Pivot</t>
  </si>
  <si>
    <t>Aprile</t>
  </si>
  <si>
    <t>Inserisci&gt;Grafico pivot (mese e importo fattura come assi)</t>
  </si>
  <si>
    <t>"=CERCA.VERT(B2; Città!A:B; 2; FALSO)" per il primo record</t>
  </si>
  <si>
    <t>Una colonna priva di valori, stringhe o qualsiasi altro formato di dato</t>
  </si>
  <si>
    <t>Una riga priva di valori, stringhe o qualsiasi altro formato di dato</t>
  </si>
  <si>
    <t>Una cella priva di valori, stringhe o qualsiasi altro formato di dato</t>
  </si>
  <si>
    <t>Esempio, colonna L</t>
  </si>
  <si>
    <t>Esempio, Riga 50</t>
  </si>
  <si>
    <t>Esempio L1</t>
  </si>
  <si>
    <t>Personalmente parlando, uso Excel costantemente in ambito lavorativo, credo sia uno dei software office più comodi e utili in assoluto. Spesso l'ho sfruttato (e tutt'ora lo sfrutto) nella fase di preprocessing dei dati, prima di utilizzare specifiche librerie di python per l'analisi dati. Quando si hanno dati grezzi (ottenuti da terzi), a volte può capitare che ci siano errori nella prima lettura di un file, che impediscono la visualizzazione corretta della matrice di dati. Vuoi che sia una virgola in meno, o una in più, o magari qualcosa di più grave. Mediante excel ritengo sia facile manipolare questi errori. Un altro esempio è quanto si manipolano dei dataset contenenti errori ripetuti (Cose che comunque si possono fare tranquillamente su python, ma sono punti di vista da valutare a seconda del tipo di dato). Inoltre, comunque, è molto comodo per presentare dei dati anche a chi non è totalemente del "mestiere". Grazie per questo corso. Stefano.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</si>
</sst>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00"/>
  </numFmts>
  <fonts count="8" x14ac:knownFonts="1">
    <font>
      <sz val="10"/>
      <color rgb="FF000000"/>
      <name val="Arial"/>
      <scheme val="minor"/>
    </font>
    <font>
      <b/>
      <sz val="10"/>
      <color theme="1"/>
      <name val="Arial"/>
    </font>
    <font>
      <sz val="10"/>
      <color theme="1"/>
      <name val="Calibri"/>
    </font>
    <font>
      <sz val="10"/>
      <color theme="1"/>
      <name val="Arial"/>
    </font>
    <font>
      <b/>
      <sz val="10"/>
      <color theme="1"/>
      <name val="Calibri"/>
      <family val="2"/>
    </font>
    <font>
      <sz val="10"/>
      <color theme="1"/>
      <name val="Calibri"/>
      <family val="2"/>
    </font>
    <font>
      <sz val="10"/>
      <color rgb="FF000000"/>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applyAlignment="1">
      <alignment horizontal="right"/>
    </xf>
    <xf numFmtId="0" fontId="3" fillId="0" borderId="0" xfId="0" applyFont="1"/>
    <xf numFmtId="164" fontId="3" fillId="0" borderId="0" xfId="0" applyNumberFormat="1" applyFont="1" applyAlignment="1">
      <alignment horizontal="right"/>
    </xf>
    <xf numFmtId="164" fontId="3" fillId="0" borderId="0" xfId="0" applyNumberFormat="1" applyFont="1"/>
    <xf numFmtId="9" fontId="2" fillId="0" borderId="0" xfId="0" applyNumberFormat="1" applyFont="1"/>
    <xf numFmtId="14" fontId="3" fillId="0" borderId="0" xfId="0" applyNumberFormat="1" applyFont="1"/>
    <xf numFmtId="164" fontId="2" fillId="0" borderId="0" xfId="0" applyNumberFormat="1" applyFont="1"/>
    <xf numFmtId="0" fontId="4" fillId="0" borderId="0" xfId="0" applyFont="1"/>
    <xf numFmtId="9" fontId="5" fillId="0" borderId="0" xfId="0" applyNumberFormat="1" applyFont="1"/>
    <xf numFmtId="0" fontId="5" fillId="0" borderId="0" xfId="0" applyFont="1"/>
    <xf numFmtId="0" fontId="6" fillId="0" borderId="0" xfId="0" applyFont="1"/>
    <xf numFmtId="0" fontId="7" fillId="0" borderId="0" xfId="0" applyFont="1"/>
    <xf numFmtId="0" fontId="0" fillId="0" borderId="0" xfId="0" pivotButton="1"/>
    <xf numFmtId="0" fontId="0" fillId="0" borderId="0" xfId="0" applyAlignment="1">
      <alignment horizontal="left"/>
    </xf>
    <xf numFmtId="164" fontId="0" fillId="0" borderId="0" xfId="0" applyNumberFormat="1"/>
    <xf numFmtId="49" fontId="5" fillId="0" borderId="0" xfId="0" applyNumberFormat="1" applyFont="1" applyAlignment="1">
      <alignment horizontal="center" vertical="center" wrapText="1"/>
    </xf>
  </cellXfs>
  <cellStyles count="1">
    <cellStyle name="Normale"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Totale Mensile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2777777777779"/>
          <c:y val="0.2345326625838437"/>
          <c:w val="0.70047178477690286"/>
          <c:h val="0.43059966462525517"/>
        </c:manualLayout>
      </c:layout>
      <c:barChart>
        <c:barDir val="col"/>
        <c:grouping val="clustered"/>
        <c:varyColors val="0"/>
        <c:ser>
          <c:idx val="0"/>
          <c:order val="0"/>
          <c:tx>
            <c:v>Totale</c:v>
          </c:tx>
          <c:spPr>
            <a:solidFill>
              <a:schemeClr val="accent1"/>
            </a:solidFill>
            <a:ln>
              <a:noFill/>
            </a:ln>
            <a:effectLst/>
          </c:spPr>
          <c:invertIfNegative val="0"/>
          <c:cat>
            <c:strLit>
              <c:ptCount val="11"/>
              <c:pt idx="0">
                <c:v>gennaio</c:v>
              </c:pt>
              <c:pt idx="1">
                <c:v>febbraio</c:v>
              </c:pt>
              <c:pt idx="2">
                <c:v>marzo</c:v>
              </c:pt>
              <c:pt idx="3">
                <c:v>aprile</c:v>
              </c:pt>
              <c:pt idx="4">
                <c:v>maggio</c:v>
              </c:pt>
              <c:pt idx="5">
                <c:v>giugno</c:v>
              </c:pt>
              <c:pt idx="6">
                <c:v>luglio</c:v>
              </c:pt>
              <c:pt idx="7">
                <c:v>agosto</c:v>
              </c:pt>
              <c:pt idx="8">
                <c:v>settembre</c:v>
              </c:pt>
              <c:pt idx="9">
                <c:v>novembre</c:v>
              </c:pt>
              <c:pt idx="10">
                <c:v>dicembre</c:v>
              </c:pt>
            </c:strLit>
          </c:cat>
          <c:val>
            <c:numLit>
              <c:formatCode>General</c:formatCode>
              <c:ptCount val="11"/>
              <c:pt idx="0">
                <c:v>288.89</c:v>
              </c:pt>
              <c:pt idx="1">
                <c:v>84.62</c:v>
              </c:pt>
              <c:pt idx="2">
                <c:v>41.41</c:v>
              </c:pt>
              <c:pt idx="3">
                <c:v>327.25</c:v>
              </c:pt>
              <c:pt idx="4">
                <c:v>163.43</c:v>
              </c:pt>
              <c:pt idx="5">
                <c:v>179.76999999999998</c:v>
              </c:pt>
              <c:pt idx="6">
                <c:v>35.71</c:v>
              </c:pt>
              <c:pt idx="7">
                <c:v>168.2</c:v>
              </c:pt>
              <c:pt idx="8">
                <c:v>102.28</c:v>
              </c:pt>
              <c:pt idx="9">
                <c:v>66.98</c:v>
              </c:pt>
              <c:pt idx="10">
                <c:v>139.11000000000001</c:v>
              </c:pt>
            </c:numLit>
          </c:val>
          <c:extLst>
            <c:ext xmlns:c16="http://schemas.microsoft.com/office/drawing/2014/chart" uri="{C3380CC4-5D6E-409C-BE32-E72D297353CC}">
              <c16:uniqueId val="{00000000-9D35-4C12-AB68-4914EBA512AE}"/>
            </c:ext>
          </c:extLst>
        </c:ser>
        <c:dLbls>
          <c:showLegendKey val="0"/>
          <c:showVal val="0"/>
          <c:showCatName val="0"/>
          <c:showSerName val="0"/>
          <c:showPercent val="0"/>
          <c:showBubbleSize val="0"/>
        </c:dLbls>
        <c:gapWidth val="219"/>
        <c:overlap val="-27"/>
        <c:axId val="683236783"/>
        <c:axId val="683238223"/>
      </c:barChart>
      <c:catAx>
        <c:axId val="68323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83238223"/>
        <c:crosses val="autoZero"/>
        <c:auto val="1"/>
        <c:lblAlgn val="ctr"/>
        <c:lblOffset val="100"/>
        <c:noMultiLvlLbl val="0"/>
      </c:catAx>
      <c:valAx>
        <c:axId val="68323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8323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5039479</xdr:colOff>
      <xdr:row>24</xdr:row>
      <xdr:rowOff>134860</xdr:rowOff>
    </xdr:from>
    <xdr:to>
      <xdr:col>8</xdr:col>
      <xdr:colOff>9611479</xdr:colOff>
      <xdr:row>41</xdr:row>
      <xdr:rowOff>70743</xdr:rowOff>
    </xdr:to>
    <xdr:graphicFrame macro="">
      <xdr:nvGraphicFramePr>
        <xdr:cNvPr id="3" name="Grafico 2">
          <a:extLst>
            <a:ext uri="{FF2B5EF4-FFF2-40B4-BE49-F238E27FC236}">
              <a16:creationId xmlns:a16="http://schemas.microsoft.com/office/drawing/2014/main" id="{BB365160-589C-67B5-8090-773F4AF5E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fano Nocco" refreshedDate="45604.776777199077" createdVersion="8" refreshedVersion="8" minRefreshableVersion="3" recordCount="25" xr:uid="{5D2DD7D5-85B2-4864-ABEF-D8C389D87783}">
  <cacheSource type="worksheet">
    <worksheetSource ref="A1:F26" sheet="Education Web App Elementari"/>
  </cacheSource>
  <cacheFields count="6">
    <cacheField name="# Fattura" numFmtId="0">
      <sharedItems containsSemiMixedTypes="0" containsString="0" containsNumber="1" containsInteger="1" minValue="1" maxValue="25"/>
    </cacheField>
    <cacheField name="Provincia" numFmtId="0">
      <sharedItems/>
    </cacheField>
    <cacheField name="Mese" numFmtId="0">
      <sharedItems count="11">
        <s v="settembre"/>
        <s v="marzo"/>
        <s v="aprile"/>
        <s v="maggio"/>
        <s v="febbraio"/>
        <s v="giugno"/>
        <s v="luglio"/>
        <s v="gennaio"/>
        <s v="agosto"/>
        <s v="novembre"/>
        <s v="dicembre"/>
      </sharedItems>
    </cacheField>
    <cacheField name="Importo Fattura" numFmtId="164">
      <sharedItems containsSemiMixedTypes="0" containsString="0" containsNumber="1" minValue="2.64" maxValue="140.69999999999999"/>
    </cacheField>
    <cacheField name="Materia" numFmtId="0">
      <sharedItems count="7">
        <s v="Storia"/>
        <s v="Inglese"/>
        <s v="Matematica"/>
        <s v="Scienze"/>
        <s v="Geografia"/>
        <s v="Informatica"/>
        <s v="Italiano"/>
      </sharedItems>
    </cacheField>
    <cacheField name="Città"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22"/>
    <s v="Roma"/>
    <x v="0"/>
    <n v="2.64"/>
    <x v="0"/>
    <s v="Roma"/>
  </r>
  <r>
    <n v="7"/>
    <s v="Roma"/>
    <x v="1"/>
    <n v="10.3"/>
    <x v="1"/>
    <s v="Roma"/>
  </r>
  <r>
    <n v="13"/>
    <s v="Roma"/>
    <x v="2"/>
    <n v="12"/>
    <x v="1"/>
    <s v="Roma"/>
  </r>
  <r>
    <n v="8"/>
    <s v="Roma"/>
    <x v="2"/>
    <n v="14.03"/>
    <x v="1"/>
    <s v="Roma"/>
  </r>
  <r>
    <n v="15"/>
    <s v="Roma"/>
    <x v="3"/>
    <n v="23.31"/>
    <x v="2"/>
    <s v="Roma"/>
  </r>
  <r>
    <n v="6"/>
    <s v="Roma"/>
    <x v="1"/>
    <n v="31.11"/>
    <x v="0"/>
    <s v="Roma"/>
  </r>
  <r>
    <n v="4"/>
    <s v="Roma"/>
    <x v="4"/>
    <n v="32.15"/>
    <x v="3"/>
    <s v="Roma"/>
  </r>
  <r>
    <n v="17"/>
    <s v="Milano"/>
    <x v="5"/>
    <n v="35.130000000000003"/>
    <x v="2"/>
    <s v="Milano"/>
  </r>
  <r>
    <n v="19"/>
    <s v="Roma"/>
    <x v="6"/>
    <n v="35.71"/>
    <x v="0"/>
    <s v="Roma"/>
  </r>
  <r>
    <n v="2"/>
    <s v="Roma"/>
    <x v="7"/>
    <n v="38.04"/>
    <x v="2"/>
    <s v="Roma"/>
  </r>
  <r>
    <n v="9"/>
    <s v="Roma"/>
    <x v="2"/>
    <n v="47.7"/>
    <x v="3"/>
    <s v="Roma"/>
  </r>
  <r>
    <n v="18"/>
    <s v="Milano"/>
    <x v="5"/>
    <n v="52.16"/>
    <x v="4"/>
    <s v="Milano"/>
  </r>
  <r>
    <n v="5"/>
    <s v="Rieti"/>
    <x v="4"/>
    <n v="52.47"/>
    <x v="1"/>
    <s v="Rieti"/>
  </r>
  <r>
    <n v="11"/>
    <s v="Roma"/>
    <x v="2"/>
    <n v="53.1"/>
    <x v="0"/>
    <s v="Roma"/>
  </r>
  <r>
    <n v="21"/>
    <s v="Roma"/>
    <x v="8"/>
    <n v="55.1"/>
    <x v="1"/>
    <s v="Roma"/>
  </r>
  <r>
    <n v="24"/>
    <s v="Roma"/>
    <x v="9"/>
    <n v="66.98"/>
    <x v="3"/>
    <s v="Roma"/>
  </r>
  <r>
    <n v="12"/>
    <s v="Roma"/>
    <x v="2"/>
    <n v="92.42"/>
    <x v="2"/>
    <s v="Roma"/>
  </r>
  <r>
    <n v="16"/>
    <s v="Roma"/>
    <x v="5"/>
    <n v="92.48"/>
    <x v="5"/>
    <s v="Roma"/>
  </r>
  <r>
    <n v="23"/>
    <s v="Firenze"/>
    <x v="0"/>
    <n v="99.64"/>
    <x v="6"/>
    <s v="Firenze"/>
  </r>
  <r>
    <n v="10"/>
    <s v="Roma"/>
    <x v="2"/>
    <n v="108"/>
    <x v="4"/>
    <s v="Roma"/>
  </r>
  <r>
    <n v="1"/>
    <s v="Roma"/>
    <x v="7"/>
    <n v="110.15"/>
    <x v="4"/>
    <s v="Roma"/>
  </r>
  <r>
    <n v="20"/>
    <s v="Napoli"/>
    <x v="8"/>
    <n v="113.1"/>
    <x v="6"/>
    <s v="Napoli"/>
  </r>
  <r>
    <n v="25"/>
    <s v="Firenze"/>
    <x v="10"/>
    <n v="139.11000000000001"/>
    <x v="6"/>
    <s v="Firenze"/>
  </r>
  <r>
    <n v="14"/>
    <s v="Roma"/>
    <x v="3"/>
    <n v="140.12"/>
    <x v="4"/>
    <s v="Roma"/>
  </r>
  <r>
    <n v="3"/>
    <s v="Roma"/>
    <x v="7"/>
    <n v="140.69999999999999"/>
    <x v="4"/>
    <s v="Ro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B9B119-760A-4094-BD1E-68419E73C2E2}"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rowHeaderCaption="Mese">
  <location ref="A3:I16" firstHeaderRow="1" firstDataRow="2" firstDataCol="1"/>
  <pivotFields count="6">
    <pivotField showAll="0"/>
    <pivotField showAll="0"/>
    <pivotField axis="axisRow" showAll="0">
      <items count="12">
        <item x="7"/>
        <item x="4"/>
        <item x="1"/>
        <item x="2"/>
        <item x="3"/>
        <item x="5"/>
        <item x="6"/>
        <item x="8"/>
        <item x="0"/>
        <item x="9"/>
        <item x="10"/>
        <item t="default"/>
      </items>
    </pivotField>
    <pivotField dataField="1" numFmtId="164" showAll="0"/>
    <pivotField axis="axisCol" showAll="0">
      <items count="8">
        <item x="4"/>
        <item x="5"/>
        <item x="1"/>
        <item x="6"/>
        <item x="2"/>
        <item x="3"/>
        <item x="0"/>
        <item t="default"/>
      </items>
    </pivotField>
    <pivotField showAll="0"/>
  </pivotFields>
  <rowFields count="1">
    <field x="2"/>
  </rowFields>
  <rowItems count="12">
    <i>
      <x/>
    </i>
    <i>
      <x v="1"/>
    </i>
    <i>
      <x v="2"/>
    </i>
    <i>
      <x v="3"/>
    </i>
    <i>
      <x v="4"/>
    </i>
    <i>
      <x v="5"/>
    </i>
    <i>
      <x v="6"/>
    </i>
    <i>
      <x v="7"/>
    </i>
    <i>
      <x v="8"/>
    </i>
    <i>
      <x v="9"/>
    </i>
    <i>
      <x v="10"/>
    </i>
    <i t="grand">
      <x/>
    </i>
  </rowItems>
  <colFields count="1">
    <field x="4"/>
  </colFields>
  <colItems count="8">
    <i>
      <x/>
    </i>
    <i>
      <x v="1"/>
    </i>
    <i>
      <x v="2"/>
    </i>
    <i>
      <x v="3"/>
    </i>
    <i>
      <x v="4"/>
    </i>
    <i>
      <x v="5"/>
    </i>
    <i>
      <x v="6"/>
    </i>
    <i t="grand">
      <x/>
    </i>
  </colItems>
  <dataFields count="1">
    <dataField name="Somma di Importo Fattura"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tabSelected="1" topLeftCell="A4" zoomScale="130" zoomScaleNormal="130" workbookViewId="0">
      <selection activeCell="A32" sqref="A32:G41"/>
    </sheetView>
  </sheetViews>
  <sheetFormatPr defaultColWidth="12.5703125" defaultRowHeight="15.75" customHeight="1" x14ac:dyDescent="0.2"/>
  <cols>
    <col min="1" max="1" width="9.5703125" customWidth="1"/>
    <col min="8" max="8" width="3.85546875" customWidth="1"/>
    <col min="9" max="9" width="145.28515625" customWidth="1"/>
    <col min="10" max="10" width="76" bestFit="1" customWidth="1"/>
    <col min="11" max="11" width="181.7109375" bestFit="1" customWidth="1"/>
  </cols>
  <sheetData>
    <row r="1" spans="1:30" ht="12.75" x14ac:dyDescent="0.2">
      <c r="A1" s="1" t="s">
        <v>0</v>
      </c>
      <c r="B1" s="1" t="s">
        <v>1</v>
      </c>
      <c r="C1" s="1" t="s">
        <v>2</v>
      </c>
      <c r="D1" s="1" t="s">
        <v>3</v>
      </c>
      <c r="E1" s="1" t="s">
        <v>4</v>
      </c>
      <c r="F1" s="1" t="s">
        <v>5</v>
      </c>
      <c r="G1" s="14" t="s">
        <v>56</v>
      </c>
      <c r="H1" s="2"/>
      <c r="I1" s="1" t="s">
        <v>6</v>
      </c>
      <c r="J1" s="1" t="s">
        <v>7</v>
      </c>
      <c r="K1" s="10" t="s">
        <v>51</v>
      </c>
      <c r="L1" s="2"/>
      <c r="M1" s="2"/>
      <c r="N1" s="2"/>
      <c r="O1" s="2"/>
      <c r="P1" s="2"/>
      <c r="Q1" s="2"/>
      <c r="R1" s="2"/>
      <c r="S1" s="2"/>
      <c r="T1" s="2"/>
      <c r="U1" s="2"/>
      <c r="V1" s="2"/>
      <c r="W1" s="2"/>
      <c r="X1" s="2"/>
      <c r="Y1" s="2"/>
      <c r="Z1" s="2"/>
      <c r="AA1" s="2"/>
      <c r="AB1" s="2"/>
      <c r="AC1" s="2"/>
      <c r="AD1" s="2"/>
    </row>
    <row r="2" spans="1:30" ht="12.75" x14ac:dyDescent="0.2">
      <c r="A2" s="3">
        <v>22</v>
      </c>
      <c r="B2" s="4" t="s">
        <v>8</v>
      </c>
      <c r="C2" s="8" t="s">
        <v>47</v>
      </c>
      <c r="D2" s="5">
        <v>2.64</v>
      </c>
      <c r="E2" s="4" t="s">
        <v>22</v>
      </c>
      <c r="F2" s="13" t="str">
        <f>VLOOKUP(B2, Città!A:B, 2, FALSE)</f>
        <v>Roma</v>
      </c>
      <c r="G2" s="13" t="str">
        <f t="shared" ref="G2:G26" si="0">IF(D2&gt;63.91, "Alto", "Basso")</f>
        <v>Basso</v>
      </c>
      <c r="H2" s="3">
        <v>1</v>
      </c>
      <c r="I2" s="4" t="s">
        <v>11</v>
      </c>
      <c r="J2" s="2" t="str" cm="1">
        <f t="array" aca="1" ref="J2" ca="1">CELL("filename", A1)</f>
        <v>C:\Users\steno\Downloads\[Excel - Education.xlsx]Education Web App Elementari</v>
      </c>
      <c r="K2" s="11" t="s">
        <v>52</v>
      </c>
      <c r="L2" s="2"/>
      <c r="M2" s="2"/>
      <c r="N2" s="2"/>
      <c r="O2" s="2"/>
      <c r="P2" s="2"/>
      <c r="Q2" s="2"/>
      <c r="R2" s="2"/>
      <c r="S2" s="2"/>
      <c r="T2" s="2"/>
      <c r="U2" s="2"/>
      <c r="V2" s="2"/>
      <c r="W2" s="2"/>
      <c r="X2" s="2"/>
      <c r="Y2" s="2"/>
      <c r="Z2" s="2"/>
      <c r="AA2" s="2"/>
      <c r="AB2" s="2"/>
      <c r="AC2" s="2"/>
      <c r="AD2" s="2"/>
    </row>
    <row r="3" spans="1:30" ht="12.75" x14ac:dyDescent="0.2">
      <c r="A3" s="3">
        <v>7</v>
      </c>
      <c r="B3" s="4" t="s">
        <v>8</v>
      </c>
      <c r="C3" s="8" t="s">
        <v>21</v>
      </c>
      <c r="D3" s="5">
        <v>10.3</v>
      </c>
      <c r="E3" s="4" t="s">
        <v>19</v>
      </c>
      <c r="F3" s="13" t="str">
        <f>VLOOKUP(B3, Città!A:B, 2, FALSE)</f>
        <v>Roma</v>
      </c>
      <c r="G3" s="13" t="str">
        <f t="shared" si="0"/>
        <v>Basso</v>
      </c>
      <c r="H3" s="3">
        <v>2</v>
      </c>
      <c r="I3" s="4" t="s">
        <v>13</v>
      </c>
      <c r="J3" s="2" t="s">
        <v>75</v>
      </c>
      <c r="K3" s="7" t="s">
        <v>78</v>
      </c>
      <c r="L3" s="2"/>
      <c r="M3" s="2"/>
      <c r="N3" s="2"/>
      <c r="O3" s="2"/>
      <c r="P3" s="2"/>
      <c r="Q3" s="2"/>
      <c r="R3" s="2"/>
      <c r="S3" s="2"/>
      <c r="T3" s="2"/>
      <c r="U3" s="2"/>
      <c r="V3" s="2"/>
      <c r="W3" s="2"/>
      <c r="X3" s="2"/>
      <c r="Y3" s="2"/>
      <c r="Z3" s="2"/>
      <c r="AA3" s="2"/>
      <c r="AB3" s="2"/>
      <c r="AC3" s="2"/>
      <c r="AD3" s="2"/>
    </row>
    <row r="4" spans="1:30" ht="12.75" x14ac:dyDescent="0.2">
      <c r="A4" s="3">
        <v>13</v>
      </c>
      <c r="B4" s="4" t="s">
        <v>8</v>
      </c>
      <c r="C4" s="8" t="s">
        <v>25</v>
      </c>
      <c r="D4" s="5">
        <v>12</v>
      </c>
      <c r="E4" s="4" t="s">
        <v>19</v>
      </c>
      <c r="F4" s="13" t="str">
        <f>VLOOKUP(B4, Città!A:B, 2, FALSE)</f>
        <v>Roma</v>
      </c>
      <c r="G4" s="13" t="str">
        <f t="shared" si="0"/>
        <v>Basso</v>
      </c>
      <c r="H4" s="3">
        <v>3</v>
      </c>
      <c r="I4" s="4" t="s">
        <v>14</v>
      </c>
      <c r="J4" s="2" t="s">
        <v>76</v>
      </c>
      <c r="K4" s="7" t="s">
        <v>79</v>
      </c>
      <c r="L4" s="2"/>
      <c r="M4" s="2"/>
      <c r="N4" s="2"/>
      <c r="O4" s="2"/>
      <c r="P4" s="2"/>
      <c r="Q4" s="2"/>
      <c r="R4" s="2"/>
      <c r="S4" s="2"/>
      <c r="T4" s="2"/>
      <c r="U4" s="2"/>
      <c r="V4" s="2"/>
      <c r="W4" s="2"/>
      <c r="X4" s="2"/>
      <c r="Y4" s="2"/>
      <c r="Z4" s="2"/>
      <c r="AA4" s="2"/>
      <c r="AB4" s="2"/>
      <c r="AC4" s="2"/>
      <c r="AD4" s="2"/>
    </row>
    <row r="5" spans="1:30" ht="12.75" x14ac:dyDescent="0.2">
      <c r="A5" s="3">
        <v>8</v>
      </c>
      <c r="B5" s="4" t="s">
        <v>8</v>
      </c>
      <c r="C5" s="8" t="s">
        <v>25</v>
      </c>
      <c r="D5" s="5">
        <v>14.03</v>
      </c>
      <c r="E5" s="4" t="s">
        <v>19</v>
      </c>
      <c r="F5" s="13" t="str">
        <f>VLOOKUP(B5, Città!A:B, 2, FALSE)</f>
        <v>Roma</v>
      </c>
      <c r="G5" s="13" t="str">
        <f t="shared" si="0"/>
        <v>Basso</v>
      </c>
      <c r="H5" s="3">
        <v>4</v>
      </c>
      <c r="I5" s="4" t="s">
        <v>17</v>
      </c>
      <c r="J5" s="2" t="s">
        <v>77</v>
      </c>
      <c r="K5" s="7" t="s">
        <v>80</v>
      </c>
      <c r="L5" s="2"/>
      <c r="M5" s="2"/>
      <c r="N5" s="2"/>
      <c r="O5" s="2"/>
      <c r="P5" s="2"/>
      <c r="Q5" s="2"/>
      <c r="R5" s="2"/>
      <c r="S5" s="2"/>
      <c r="T5" s="2"/>
      <c r="U5" s="2"/>
      <c r="V5" s="2"/>
      <c r="W5" s="2"/>
      <c r="X5" s="2"/>
      <c r="Y5" s="2"/>
      <c r="Z5" s="2"/>
      <c r="AA5" s="2"/>
      <c r="AB5" s="2"/>
      <c r="AC5" s="2"/>
      <c r="AD5" s="2"/>
    </row>
    <row r="6" spans="1:30" ht="12.75" x14ac:dyDescent="0.2">
      <c r="A6" s="3">
        <v>15</v>
      </c>
      <c r="B6" s="4" t="s">
        <v>8</v>
      </c>
      <c r="C6" s="8" t="s">
        <v>32</v>
      </c>
      <c r="D6" s="5">
        <v>23.31</v>
      </c>
      <c r="E6" s="4" t="s">
        <v>12</v>
      </c>
      <c r="F6" s="13" t="str">
        <f>VLOOKUP(B6, Città!A:B, 2, FALSE)</f>
        <v>Roma</v>
      </c>
      <c r="G6" s="13" t="str">
        <f t="shared" si="0"/>
        <v>Basso</v>
      </c>
      <c r="H6" s="3">
        <v>5</v>
      </c>
      <c r="I6" s="4" t="s">
        <v>20</v>
      </c>
      <c r="J6" s="9">
        <f>SUM(D:D)</f>
        <v>1597.6499999999999</v>
      </c>
      <c r="K6" s="12" t="s">
        <v>58</v>
      </c>
      <c r="L6" s="2"/>
      <c r="M6" s="2"/>
      <c r="N6" s="2"/>
      <c r="O6" s="2"/>
      <c r="P6" s="2"/>
      <c r="Q6" s="2"/>
      <c r="R6" s="2"/>
      <c r="S6" s="2"/>
      <c r="T6" s="2"/>
      <c r="U6" s="2"/>
      <c r="V6" s="2"/>
      <c r="W6" s="2"/>
      <c r="X6" s="2"/>
      <c r="Y6" s="2"/>
      <c r="Z6" s="2"/>
      <c r="AA6" s="2"/>
      <c r="AB6" s="2"/>
      <c r="AC6" s="2"/>
      <c r="AD6" s="2"/>
    </row>
    <row r="7" spans="1:30" ht="12.75" x14ac:dyDescent="0.2">
      <c r="A7" s="3">
        <v>6</v>
      </c>
      <c r="B7" s="4" t="s">
        <v>8</v>
      </c>
      <c r="C7" s="8" t="s">
        <v>21</v>
      </c>
      <c r="D7" s="5">
        <v>31.11</v>
      </c>
      <c r="E7" s="4" t="s">
        <v>22</v>
      </c>
      <c r="F7" s="13" t="str">
        <f>VLOOKUP(B7, Città!A:B, 2, FALSE)</f>
        <v>Roma</v>
      </c>
      <c r="G7" s="13" t="str">
        <f t="shared" si="0"/>
        <v>Basso</v>
      </c>
      <c r="H7" s="3">
        <v>6</v>
      </c>
      <c r="I7" s="4" t="s">
        <v>23</v>
      </c>
      <c r="J7" s="9">
        <f>SUMIF(C:C, "giugno", D:D)</f>
        <v>179.76999999999998</v>
      </c>
      <c r="K7" s="12" t="s">
        <v>57</v>
      </c>
      <c r="L7" s="2"/>
      <c r="M7" s="2"/>
      <c r="N7" s="2"/>
      <c r="O7" s="2"/>
      <c r="P7" s="2"/>
      <c r="Q7" s="2"/>
      <c r="R7" s="2"/>
      <c r="S7" s="2"/>
      <c r="T7" s="2"/>
      <c r="U7" s="2"/>
      <c r="V7" s="2"/>
      <c r="W7" s="2"/>
      <c r="X7" s="2"/>
      <c r="Y7" s="2"/>
      <c r="Z7" s="2"/>
      <c r="AA7" s="2"/>
      <c r="AB7" s="2"/>
      <c r="AC7" s="2"/>
      <c r="AD7" s="2"/>
    </row>
    <row r="8" spans="1:30" ht="12.75" x14ac:dyDescent="0.2">
      <c r="A8" s="3">
        <v>4</v>
      </c>
      <c r="B8" s="4" t="s">
        <v>8</v>
      </c>
      <c r="C8" s="8" t="s">
        <v>15</v>
      </c>
      <c r="D8" s="5">
        <v>32.15</v>
      </c>
      <c r="E8" s="4" t="s">
        <v>16</v>
      </c>
      <c r="F8" s="13" t="str">
        <f>VLOOKUP(B8, Città!A:B, 2, FALSE)</f>
        <v>Roma</v>
      </c>
      <c r="G8" s="13" t="str">
        <f t="shared" si="0"/>
        <v>Basso</v>
      </c>
      <c r="H8" s="3">
        <v>7</v>
      </c>
      <c r="I8" s="4" t="s">
        <v>24</v>
      </c>
      <c r="J8" s="12" t="s">
        <v>70</v>
      </c>
      <c r="K8" s="12" t="s">
        <v>59</v>
      </c>
      <c r="L8" s="2"/>
      <c r="M8" s="2"/>
      <c r="N8" s="2"/>
      <c r="O8" s="2"/>
      <c r="P8" s="2"/>
      <c r="Q8" s="2"/>
      <c r="R8" s="2"/>
      <c r="S8" s="2"/>
      <c r="T8" s="2"/>
      <c r="U8" s="2"/>
      <c r="V8" s="2"/>
      <c r="W8" s="2"/>
      <c r="X8" s="2"/>
      <c r="Y8" s="2"/>
      <c r="Z8" s="2"/>
      <c r="AA8" s="2"/>
      <c r="AB8" s="2"/>
      <c r="AC8" s="2"/>
      <c r="AD8" s="2"/>
    </row>
    <row r="9" spans="1:30" ht="12.75" x14ac:dyDescent="0.2">
      <c r="A9" s="3">
        <v>17</v>
      </c>
      <c r="B9" s="4" t="s">
        <v>38</v>
      </c>
      <c r="C9" s="8" t="s">
        <v>35</v>
      </c>
      <c r="D9" s="5">
        <v>35.130000000000003</v>
      </c>
      <c r="E9" s="4" t="s">
        <v>12</v>
      </c>
      <c r="F9" s="13" t="str">
        <f>VLOOKUP(B9, Città!A:B, 2, FALSE)</f>
        <v>Milano</v>
      </c>
      <c r="G9" s="13" t="str">
        <f t="shared" si="0"/>
        <v>Basso</v>
      </c>
      <c r="H9" s="3">
        <v>8</v>
      </c>
      <c r="I9" s="4" t="s">
        <v>26</v>
      </c>
      <c r="J9" s="12" t="s">
        <v>60</v>
      </c>
      <c r="K9" s="12" t="s">
        <v>61</v>
      </c>
      <c r="L9" s="2"/>
      <c r="M9" s="2"/>
      <c r="N9" s="2"/>
      <c r="O9" s="2"/>
      <c r="P9" s="2"/>
      <c r="Q9" s="2"/>
      <c r="R9" s="2"/>
      <c r="S9" s="2"/>
      <c r="T9" s="2"/>
      <c r="U9" s="2"/>
      <c r="V9" s="2"/>
      <c r="W9" s="2"/>
      <c r="X9" s="2"/>
      <c r="Y9" s="2"/>
      <c r="Z9" s="2"/>
      <c r="AA9" s="2"/>
      <c r="AB9" s="2"/>
      <c r="AC9" s="2"/>
      <c r="AD9" s="2"/>
    </row>
    <row r="10" spans="1:30" ht="12.75" x14ac:dyDescent="0.2">
      <c r="A10" s="3">
        <v>19</v>
      </c>
      <c r="B10" s="4" t="s">
        <v>8</v>
      </c>
      <c r="C10" s="8" t="s">
        <v>41</v>
      </c>
      <c r="D10" s="5">
        <v>35.71</v>
      </c>
      <c r="E10" s="4" t="s">
        <v>22</v>
      </c>
      <c r="F10" s="13" t="str">
        <f>VLOOKUP(B10, Città!A:B, 2, FALSE)</f>
        <v>Roma</v>
      </c>
      <c r="G10" s="13" t="str">
        <f t="shared" si="0"/>
        <v>Basso</v>
      </c>
      <c r="H10" s="3">
        <v>9</v>
      </c>
      <c r="I10" s="4" t="s">
        <v>27</v>
      </c>
      <c r="J10" s="12">
        <f>COUNTIF(D:D, "&gt;100")</f>
        <v>6</v>
      </c>
      <c r="K10" s="12" t="s">
        <v>62</v>
      </c>
      <c r="L10" s="2"/>
      <c r="M10" s="2"/>
      <c r="N10" s="2"/>
      <c r="O10" s="2"/>
      <c r="P10" s="2"/>
      <c r="Q10" s="2"/>
      <c r="R10" s="2"/>
      <c r="S10" s="2"/>
      <c r="T10" s="2"/>
      <c r="U10" s="2"/>
      <c r="V10" s="2"/>
      <c r="W10" s="2"/>
      <c r="X10" s="2"/>
      <c r="Y10" s="2"/>
      <c r="Z10" s="2"/>
      <c r="AA10" s="2"/>
      <c r="AB10" s="2"/>
      <c r="AC10" s="2"/>
      <c r="AD10" s="2"/>
    </row>
    <row r="11" spans="1:30" ht="12.75" x14ac:dyDescent="0.2">
      <c r="A11" s="3">
        <v>2</v>
      </c>
      <c r="B11" s="4" t="s">
        <v>8</v>
      </c>
      <c r="C11" s="4" t="s">
        <v>9</v>
      </c>
      <c r="D11" s="5">
        <v>38.04</v>
      </c>
      <c r="E11" s="4" t="s">
        <v>12</v>
      </c>
      <c r="F11" s="13" t="str">
        <f>VLOOKUP(B11, Città!A:B, 2, FALSE)</f>
        <v>Roma</v>
      </c>
      <c r="G11" s="13" t="str">
        <f t="shared" si="0"/>
        <v>Basso</v>
      </c>
      <c r="H11" s="3">
        <v>10</v>
      </c>
      <c r="I11" s="4" t="s">
        <v>28</v>
      </c>
      <c r="J11" s="2">
        <f>COUNTIF(B:B, "Milano")</f>
        <v>2</v>
      </c>
      <c r="K11" s="12" t="s">
        <v>63</v>
      </c>
      <c r="L11" s="2"/>
      <c r="M11" s="2"/>
      <c r="N11" s="2"/>
      <c r="O11" s="2"/>
      <c r="P11" s="2"/>
      <c r="Q11" s="2"/>
      <c r="R11" s="2"/>
      <c r="S11" s="2"/>
      <c r="T11" s="2"/>
      <c r="U11" s="2"/>
      <c r="V11" s="2"/>
      <c r="W11" s="2"/>
      <c r="X11" s="2"/>
      <c r="Y11" s="2"/>
      <c r="Z11" s="2"/>
      <c r="AA11" s="2"/>
      <c r="AB11" s="2"/>
      <c r="AC11" s="2"/>
      <c r="AD11" s="2"/>
    </row>
    <row r="12" spans="1:30" ht="12.75" x14ac:dyDescent="0.2">
      <c r="A12" s="3">
        <v>9</v>
      </c>
      <c r="B12" s="4" t="s">
        <v>8</v>
      </c>
      <c r="C12" s="8" t="s">
        <v>25</v>
      </c>
      <c r="D12" s="5">
        <v>47.7</v>
      </c>
      <c r="E12" s="4" t="s">
        <v>16</v>
      </c>
      <c r="F12" s="13" t="str">
        <f>VLOOKUP(B12, Città!A:B, 2, FALSE)</f>
        <v>Roma</v>
      </c>
      <c r="G12" s="13" t="str">
        <f t="shared" si="0"/>
        <v>Basso</v>
      </c>
      <c r="H12" s="3">
        <v>11</v>
      </c>
      <c r="I12" s="4" t="s">
        <v>29</v>
      </c>
      <c r="J12" s="2">
        <f>COUNTIFS(B:B, "Roma", C:C, "aprile")</f>
        <v>6</v>
      </c>
      <c r="K12" s="12" t="s">
        <v>53</v>
      </c>
      <c r="L12" s="2"/>
      <c r="M12" s="2"/>
      <c r="N12" s="2"/>
      <c r="O12" s="2"/>
      <c r="P12" s="2"/>
      <c r="Q12" s="2"/>
      <c r="R12" s="2"/>
      <c r="S12" s="2"/>
      <c r="T12" s="2"/>
      <c r="U12" s="2"/>
      <c r="V12" s="2"/>
      <c r="W12" s="2"/>
      <c r="X12" s="2"/>
      <c r="Y12" s="2"/>
      <c r="Z12" s="2"/>
      <c r="AA12" s="2"/>
      <c r="AB12" s="2"/>
      <c r="AC12" s="2"/>
      <c r="AD12" s="2"/>
    </row>
    <row r="13" spans="1:30" ht="12.75" x14ac:dyDescent="0.2">
      <c r="A13" s="3">
        <v>18</v>
      </c>
      <c r="B13" s="4" t="s">
        <v>38</v>
      </c>
      <c r="C13" s="8" t="s">
        <v>35</v>
      </c>
      <c r="D13" s="5">
        <v>52.16</v>
      </c>
      <c r="E13" s="4" t="s">
        <v>10</v>
      </c>
      <c r="F13" s="13" t="str">
        <f>VLOOKUP(B13, Città!A:B, 2, FALSE)</f>
        <v>Milano</v>
      </c>
      <c r="G13" s="13" t="str">
        <f t="shared" si="0"/>
        <v>Basso</v>
      </c>
      <c r="H13" s="3">
        <v>12</v>
      </c>
      <c r="I13" s="4" t="s">
        <v>30</v>
      </c>
      <c r="J13" s="9">
        <f>SUMIFS(D:D, E:E, "Geografia", C:C, "gennaio")</f>
        <v>250.85</v>
      </c>
      <c r="K13" s="12" t="s">
        <v>54</v>
      </c>
      <c r="L13" s="2"/>
      <c r="M13" s="2"/>
      <c r="N13" s="2"/>
      <c r="O13" s="2"/>
      <c r="P13" s="2"/>
      <c r="Q13" s="2"/>
      <c r="R13" s="2"/>
      <c r="S13" s="2"/>
      <c r="T13" s="2"/>
      <c r="U13" s="2"/>
      <c r="V13" s="2"/>
      <c r="W13" s="2"/>
      <c r="X13" s="2"/>
      <c r="Y13" s="2"/>
      <c r="Z13" s="2"/>
      <c r="AA13" s="2"/>
      <c r="AB13" s="2"/>
      <c r="AC13" s="2"/>
      <c r="AD13" s="2"/>
    </row>
    <row r="14" spans="1:30" ht="12.75" x14ac:dyDescent="0.2">
      <c r="A14" s="3">
        <v>5</v>
      </c>
      <c r="B14" s="4" t="s">
        <v>18</v>
      </c>
      <c r="C14" s="8" t="s">
        <v>15</v>
      </c>
      <c r="D14" s="5">
        <v>52.47</v>
      </c>
      <c r="E14" s="4" t="s">
        <v>19</v>
      </c>
      <c r="F14" s="13" t="str">
        <f>VLOOKUP(B14, Città!A:B, 2, FALSE)</f>
        <v>Rieti</v>
      </c>
      <c r="G14" s="13" t="str">
        <f t="shared" si="0"/>
        <v>Basso</v>
      </c>
      <c r="H14" s="3">
        <v>13</v>
      </c>
      <c r="I14" s="4" t="s">
        <v>31</v>
      </c>
      <c r="J14" s="9">
        <f>AVERAGE(D:D)</f>
        <v>63.905999999999992</v>
      </c>
      <c r="K14" s="12" t="s">
        <v>53</v>
      </c>
      <c r="L14" s="2"/>
      <c r="M14" s="2"/>
      <c r="N14" s="2"/>
      <c r="O14" s="9"/>
      <c r="P14" s="2"/>
      <c r="Q14" s="2"/>
      <c r="R14" s="2"/>
      <c r="S14" s="2"/>
      <c r="T14" s="2"/>
      <c r="U14" s="2"/>
      <c r="V14" s="2"/>
      <c r="W14" s="2"/>
      <c r="X14" s="2"/>
      <c r="Y14" s="2"/>
      <c r="Z14" s="2"/>
      <c r="AA14" s="2"/>
      <c r="AB14" s="2"/>
      <c r="AC14" s="2"/>
      <c r="AD14" s="2"/>
    </row>
    <row r="15" spans="1:30" ht="12.75" x14ac:dyDescent="0.2">
      <c r="A15" s="3">
        <v>11</v>
      </c>
      <c r="B15" s="4" t="s">
        <v>8</v>
      </c>
      <c r="C15" s="8" t="s">
        <v>25</v>
      </c>
      <c r="D15" s="5">
        <v>53.1</v>
      </c>
      <c r="E15" s="4" t="s">
        <v>22</v>
      </c>
      <c r="F15" s="13" t="str">
        <f>VLOOKUP(B15, Città!A:B, 2, FALSE)</f>
        <v>Roma</v>
      </c>
      <c r="G15" s="13" t="str">
        <f t="shared" si="0"/>
        <v>Basso</v>
      </c>
      <c r="H15" s="3">
        <v>14</v>
      </c>
      <c r="I15" s="4" t="s">
        <v>33</v>
      </c>
      <c r="J15" s="9">
        <f>AVERAGEIF(D:D, "&gt;20")</f>
        <v>74.222857142857151</v>
      </c>
      <c r="K15" s="12" t="s">
        <v>55</v>
      </c>
      <c r="L15" s="2"/>
      <c r="M15" s="2"/>
      <c r="N15" s="2"/>
      <c r="O15" s="9"/>
      <c r="P15" s="2"/>
      <c r="Q15" s="2"/>
      <c r="R15" s="2"/>
      <c r="S15" s="2"/>
      <c r="T15" s="2"/>
      <c r="U15" s="2"/>
      <c r="V15" s="2"/>
      <c r="W15" s="2"/>
      <c r="X15" s="2"/>
      <c r="Y15" s="2"/>
      <c r="Z15" s="2"/>
      <c r="AA15" s="2"/>
      <c r="AB15" s="2"/>
      <c r="AC15" s="2"/>
      <c r="AD15" s="2"/>
    </row>
    <row r="16" spans="1:30" ht="12.75" x14ac:dyDescent="0.2">
      <c r="A16" s="3">
        <v>21</v>
      </c>
      <c r="B16" s="4" t="s">
        <v>8</v>
      </c>
      <c r="C16" s="8" t="s">
        <v>44</v>
      </c>
      <c r="D16" s="5">
        <v>55.1</v>
      </c>
      <c r="E16" s="4" t="s">
        <v>19</v>
      </c>
      <c r="F16" s="13" t="str">
        <f>VLOOKUP(B16, Città!A:B, 2, FALSE)</f>
        <v>Roma</v>
      </c>
      <c r="G16" s="13" t="str">
        <f t="shared" si="0"/>
        <v>Basso</v>
      </c>
      <c r="H16" s="3">
        <v>15</v>
      </c>
      <c r="I16" s="4" t="s">
        <v>34</v>
      </c>
      <c r="J16" s="9">
        <f>AVERAGEIF(D:D, "&lt;106")</f>
        <v>44.551052631578948</v>
      </c>
      <c r="K16" s="12" t="s">
        <v>55</v>
      </c>
      <c r="L16" s="2"/>
      <c r="M16" s="2"/>
      <c r="N16" s="2"/>
      <c r="O16" s="9"/>
      <c r="P16" s="2"/>
      <c r="Q16" s="2"/>
      <c r="R16" s="2"/>
      <c r="S16" s="2"/>
      <c r="T16" s="2"/>
      <c r="U16" s="2"/>
      <c r="V16" s="2"/>
      <c r="W16" s="2"/>
      <c r="X16" s="2"/>
      <c r="Y16" s="2"/>
      <c r="Z16" s="2"/>
      <c r="AA16" s="2"/>
      <c r="AB16" s="2"/>
      <c r="AC16" s="2"/>
      <c r="AD16" s="2"/>
    </row>
    <row r="17" spans="1:30" ht="12.75" x14ac:dyDescent="0.2">
      <c r="A17" s="3">
        <v>24</v>
      </c>
      <c r="B17" s="4" t="s">
        <v>8</v>
      </c>
      <c r="C17" s="8" t="s">
        <v>49</v>
      </c>
      <c r="D17" s="5">
        <v>66.98</v>
      </c>
      <c r="E17" s="4" t="s">
        <v>16</v>
      </c>
      <c r="F17" s="13" t="str">
        <f>VLOOKUP(B17, Città!A:B, 2, FALSE)</f>
        <v>Roma</v>
      </c>
      <c r="G17" s="13" t="str">
        <f t="shared" si="0"/>
        <v>Alto</v>
      </c>
      <c r="H17" s="3">
        <v>16</v>
      </c>
      <c r="I17" s="4" t="s">
        <v>37</v>
      </c>
      <c r="J17" s="2" t="s">
        <v>74</v>
      </c>
      <c r="K17" s="2"/>
      <c r="L17" s="2"/>
      <c r="M17" s="2"/>
      <c r="N17" s="2"/>
      <c r="O17" s="9"/>
      <c r="P17" s="2"/>
      <c r="Q17" s="2"/>
      <c r="R17" s="2"/>
      <c r="S17" s="2"/>
      <c r="T17" s="2"/>
      <c r="U17" s="2"/>
      <c r="V17" s="2"/>
      <c r="W17" s="2"/>
      <c r="X17" s="2"/>
      <c r="Y17" s="2"/>
      <c r="Z17" s="2"/>
      <c r="AA17" s="2"/>
      <c r="AB17" s="2"/>
      <c r="AC17" s="2"/>
      <c r="AD17" s="2"/>
    </row>
    <row r="18" spans="1:30" ht="12.75" x14ac:dyDescent="0.2">
      <c r="A18" s="3">
        <v>12</v>
      </c>
      <c r="B18" s="4" t="s">
        <v>8</v>
      </c>
      <c r="C18" s="8" t="s">
        <v>25</v>
      </c>
      <c r="D18" s="5">
        <v>92.42</v>
      </c>
      <c r="E18" s="4" t="s">
        <v>12</v>
      </c>
      <c r="F18" s="13" t="str">
        <f>VLOOKUP(B18, Città!A:B, 2, FALSE)</f>
        <v>Roma</v>
      </c>
      <c r="G18" s="13" t="str">
        <f t="shared" si="0"/>
        <v>Alto</v>
      </c>
      <c r="H18" s="3">
        <v>17</v>
      </c>
      <c r="I18" s="4" t="s">
        <v>39</v>
      </c>
      <c r="J18" s="12" t="s">
        <v>64</v>
      </c>
      <c r="K18" s="12" t="s">
        <v>65</v>
      </c>
      <c r="L18" s="2"/>
      <c r="M18" s="2"/>
      <c r="N18" s="2"/>
      <c r="O18" s="9"/>
      <c r="P18" s="2"/>
      <c r="Q18" s="2"/>
      <c r="R18" s="2"/>
      <c r="S18" s="2"/>
      <c r="T18" s="2"/>
      <c r="U18" s="2"/>
      <c r="V18" s="2"/>
      <c r="W18" s="2"/>
      <c r="X18" s="2"/>
      <c r="Y18" s="2"/>
      <c r="Z18" s="2"/>
      <c r="AA18" s="2"/>
      <c r="AB18" s="2"/>
      <c r="AC18" s="2"/>
      <c r="AD18" s="2"/>
    </row>
    <row r="19" spans="1:30" ht="12.75" x14ac:dyDescent="0.2">
      <c r="A19" s="3">
        <v>16</v>
      </c>
      <c r="B19" s="4" t="s">
        <v>8</v>
      </c>
      <c r="C19" s="8" t="s">
        <v>35</v>
      </c>
      <c r="D19" s="5">
        <v>92.48</v>
      </c>
      <c r="E19" s="4" t="s">
        <v>36</v>
      </c>
      <c r="F19" s="13" t="str">
        <f>VLOOKUP(B19, Città!A:B, 2, FALSE)</f>
        <v>Roma</v>
      </c>
      <c r="G19" s="13" t="str">
        <f t="shared" si="0"/>
        <v>Alto</v>
      </c>
      <c r="H19" s="3">
        <v>18</v>
      </c>
      <c r="I19" s="4" t="s">
        <v>40</v>
      </c>
      <c r="J19" s="12" t="s">
        <v>69</v>
      </c>
      <c r="K19" s="12"/>
      <c r="L19" s="2"/>
      <c r="M19" s="2"/>
      <c r="N19" s="2"/>
      <c r="O19" s="9"/>
      <c r="P19" s="2"/>
      <c r="Q19" s="2"/>
      <c r="R19" s="2"/>
      <c r="S19" s="2"/>
      <c r="T19" s="2"/>
      <c r="U19" s="2"/>
      <c r="V19" s="2"/>
      <c r="W19" s="2"/>
      <c r="X19" s="2"/>
      <c r="Y19" s="2"/>
      <c r="Z19" s="2"/>
      <c r="AA19" s="2"/>
      <c r="AB19" s="2"/>
      <c r="AC19" s="2"/>
      <c r="AD19" s="2"/>
    </row>
    <row r="20" spans="1:30" ht="12.75" x14ac:dyDescent="0.2">
      <c r="A20" s="3">
        <v>23</v>
      </c>
      <c r="B20" s="4" t="s">
        <v>48</v>
      </c>
      <c r="C20" s="8" t="s">
        <v>47</v>
      </c>
      <c r="D20" s="5">
        <v>99.64</v>
      </c>
      <c r="E20" s="4" t="s">
        <v>45</v>
      </c>
      <c r="F20" s="13" t="str">
        <f>VLOOKUP(B20, Città!A:B, 2, FALSE)</f>
        <v>Firenze</v>
      </c>
      <c r="G20" s="13" t="str">
        <f t="shared" si="0"/>
        <v>Alto</v>
      </c>
      <c r="H20" s="3">
        <v>19</v>
      </c>
      <c r="I20" s="4" t="s">
        <v>42</v>
      </c>
      <c r="J20" s="12" t="s">
        <v>71</v>
      </c>
      <c r="K20" s="12" t="s">
        <v>73</v>
      </c>
      <c r="L20" s="2"/>
      <c r="M20" s="2"/>
      <c r="N20" s="2"/>
      <c r="O20" s="9"/>
      <c r="P20" s="2"/>
      <c r="Q20" s="2"/>
      <c r="R20" s="2"/>
      <c r="S20" s="2"/>
      <c r="T20" s="2"/>
      <c r="U20" s="2"/>
      <c r="V20" s="2"/>
      <c r="W20" s="2"/>
      <c r="X20" s="2"/>
      <c r="Y20" s="2"/>
      <c r="Z20" s="2"/>
      <c r="AA20" s="2"/>
      <c r="AB20" s="2"/>
      <c r="AC20" s="2"/>
      <c r="AD20" s="2"/>
    </row>
    <row r="21" spans="1:30" ht="12.75" x14ac:dyDescent="0.2">
      <c r="A21" s="3">
        <v>10</v>
      </c>
      <c r="B21" s="4" t="s">
        <v>8</v>
      </c>
      <c r="C21" s="8" t="s">
        <v>25</v>
      </c>
      <c r="D21" s="5">
        <v>108</v>
      </c>
      <c r="E21" s="4" t="s">
        <v>10</v>
      </c>
      <c r="F21" s="13" t="str">
        <f>VLOOKUP(B21, Città!A:B, 2, FALSE)</f>
        <v>Roma</v>
      </c>
      <c r="G21" s="13" t="str">
        <f t="shared" si="0"/>
        <v>Alto</v>
      </c>
      <c r="H21" s="3">
        <v>20</v>
      </c>
      <c r="I21" s="4" t="s">
        <v>46</v>
      </c>
      <c r="J21" s="12" t="s">
        <v>72</v>
      </c>
      <c r="K21" s="2"/>
      <c r="L21" s="2"/>
      <c r="M21" s="2"/>
      <c r="N21" s="2"/>
      <c r="O21" s="9"/>
      <c r="P21" s="2"/>
      <c r="Q21" s="2"/>
      <c r="R21" s="2"/>
      <c r="S21" s="2"/>
      <c r="T21" s="2"/>
      <c r="U21" s="2"/>
      <c r="V21" s="2"/>
      <c r="W21" s="2"/>
      <c r="X21" s="2"/>
      <c r="Y21" s="2"/>
      <c r="Z21" s="2"/>
      <c r="AA21" s="2"/>
      <c r="AB21" s="2"/>
      <c r="AC21" s="2"/>
      <c r="AD21" s="2"/>
    </row>
    <row r="22" spans="1:30" ht="12.75" x14ac:dyDescent="0.2">
      <c r="A22" s="3">
        <v>1</v>
      </c>
      <c r="B22" s="4" t="s">
        <v>8</v>
      </c>
      <c r="C22" s="4" t="s">
        <v>9</v>
      </c>
      <c r="D22" s="5">
        <v>110.15</v>
      </c>
      <c r="E22" s="6" t="s">
        <v>10</v>
      </c>
      <c r="F22" s="13" t="str">
        <f>VLOOKUP(B22, Città!A:B, 2, FALSE)</f>
        <v>Roma</v>
      </c>
      <c r="G22" s="13" t="str">
        <f t="shared" si="0"/>
        <v>Alto</v>
      </c>
      <c r="H22" s="2"/>
      <c r="I22" s="2"/>
      <c r="J22" s="2"/>
      <c r="K22" s="2"/>
      <c r="L22" s="2"/>
      <c r="M22" s="2"/>
      <c r="N22" s="2"/>
      <c r="O22" s="9"/>
      <c r="P22" s="2"/>
      <c r="Q22" s="2"/>
      <c r="R22" s="2"/>
      <c r="S22" s="2"/>
      <c r="T22" s="2"/>
      <c r="U22" s="2"/>
      <c r="V22" s="2"/>
      <c r="W22" s="2"/>
      <c r="X22" s="2"/>
      <c r="Y22" s="2"/>
      <c r="Z22" s="2"/>
      <c r="AA22" s="2"/>
      <c r="AB22" s="2"/>
      <c r="AC22" s="2"/>
      <c r="AD22" s="2"/>
    </row>
    <row r="23" spans="1:30" ht="12.75" x14ac:dyDescent="0.2">
      <c r="A23" s="3">
        <v>20</v>
      </c>
      <c r="B23" s="4" t="s">
        <v>43</v>
      </c>
      <c r="C23" s="8" t="s">
        <v>44</v>
      </c>
      <c r="D23" s="5">
        <v>113.1</v>
      </c>
      <c r="E23" s="4" t="s">
        <v>45</v>
      </c>
      <c r="F23" s="13" t="str">
        <f>VLOOKUP(B23, Città!A:B, 2, FALSE)</f>
        <v>Napoli</v>
      </c>
      <c r="G23" s="13" t="str">
        <f t="shared" si="0"/>
        <v>Alto</v>
      </c>
      <c r="H23" s="2"/>
      <c r="I23" s="2"/>
      <c r="J23" s="2"/>
      <c r="K23" s="2"/>
      <c r="L23" s="2"/>
      <c r="M23" s="2"/>
      <c r="N23" s="2"/>
      <c r="O23" s="9"/>
      <c r="P23" s="2"/>
      <c r="Q23" s="2"/>
      <c r="R23" s="2"/>
      <c r="S23" s="2"/>
      <c r="T23" s="2"/>
      <c r="U23" s="2"/>
      <c r="V23" s="2"/>
      <c r="W23" s="2"/>
      <c r="X23" s="2"/>
      <c r="Y23" s="2"/>
      <c r="Z23" s="2"/>
      <c r="AA23" s="2"/>
      <c r="AB23" s="2"/>
      <c r="AC23" s="2"/>
      <c r="AD23" s="2"/>
    </row>
    <row r="24" spans="1:30" ht="12.75" x14ac:dyDescent="0.2">
      <c r="A24" s="3">
        <v>25</v>
      </c>
      <c r="B24" s="4" t="s">
        <v>48</v>
      </c>
      <c r="C24" s="8" t="s">
        <v>50</v>
      </c>
      <c r="D24" s="5">
        <v>139.11000000000001</v>
      </c>
      <c r="E24" s="4" t="s">
        <v>45</v>
      </c>
      <c r="F24" s="13" t="str">
        <f>VLOOKUP(B24, Città!A:B, 2, FALSE)</f>
        <v>Firenze</v>
      </c>
      <c r="G24" s="13" t="str">
        <f t="shared" si="0"/>
        <v>Alto</v>
      </c>
      <c r="H24" s="2"/>
      <c r="I24" s="2"/>
      <c r="J24" s="2"/>
      <c r="K24" s="2"/>
      <c r="L24" s="2"/>
      <c r="M24" s="2"/>
      <c r="N24" s="2"/>
      <c r="O24" s="9"/>
      <c r="P24" s="2"/>
      <c r="Q24" s="2"/>
      <c r="R24" s="2"/>
      <c r="S24" s="2"/>
      <c r="T24" s="2"/>
      <c r="U24" s="2"/>
      <c r="V24" s="2"/>
      <c r="W24" s="2"/>
      <c r="X24" s="2"/>
      <c r="Y24" s="2"/>
      <c r="Z24" s="2"/>
      <c r="AA24" s="2"/>
      <c r="AB24" s="2"/>
      <c r="AC24" s="2"/>
      <c r="AD24" s="2"/>
    </row>
    <row r="25" spans="1:30" ht="12.75" x14ac:dyDescent="0.2">
      <c r="A25" s="3">
        <v>14</v>
      </c>
      <c r="B25" s="4" t="s">
        <v>8</v>
      </c>
      <c r="C25" s="8" t="s">
        <v>32</v>
      </c>
      <c r="D25" s="5">
        <v>140.12</v>
      </c>
      <c r="E25" s="4" t="s">
        <v>10</v>
      </c>
      <c r="F25" s="13" t="str">
        <f>VLOOKUP(B25, Città!A:B, 2, FALSE)</f>
        <v>Roma</v>
      </c>
      <c r="G25" s="13" t="str">
        <f t="shared" si="0"/>
        <v>Alto</v>
      </c>
      <c r="H25" s="2"/>
      <c r="I25" s="2"/>
      <c r="J25" s="2"/>
      <c r="K25" s="2"/>
      <c r="L25" s="2"/>
      <c r="M25" s="2"/>
      <c r="N25" s="2"/>
      <c r="O25" s="9"/>
      <c r="P25" s="2"/>
      <c r="Q25" s="2"/>
      <c r="R25" s="2"/>
      <c r="S25" s="2"/>
      <c r="T25" s="2"/>
      <c r="U25" s="2"/>
      <c r="V25" s="2"/>
      <c r="W25" s="2"/>
      <c r="X25" s="2"/>
      <c r="Y25" s="2"/>
      <c r="Z25" s="2"/>
      <c r="AA25" s="2"/>
      <c r="AB25" s="2"/>
      <c r="AC25" s="2"/>
      <c r="AD25" s="2"/>
    </row>
    <row r="26" spans="1:30" ht="12.75" x14ac:dyDescent="0.2">
      <c r="A26" s="3">
        <v>3</v>
      </c>
      <c r="B26" s="4" t="s">
        <v>8</v>
      </c>
      <c r="C26" s="4" t="s">
        <v>9</v>
      </c>
      <c r="D26" s="5">
        <v>140.69999999999999</v>
      </c>
      <c r="E26" s="4" t="s">
        <v>10</v>
      </c>
      <c r="F26" s="13" t="str">
        <f>VLOOKUP(B26, Città!A:B, 2, FALSE)</f>
        <v>Roma</v>
      </c>
      <c r="G26" s="13" t="str">
        <f t="shared" si="0"/>
        <v>Alto</v>
      </c>
      <c r="H26" s="2"/>
      <c r="I26" s="2"/>
      <c r="M26" s="2"/>
      <c r="N26" s="2"/>
      <c r="O26" s="9"/>
      <c r="P26" s="2"/>
      <c r="Q26" s="2"/>
      <c r="R26" s="2"/>
      <c r="S26" s="2"/>
      <c r="T26" s="2"/>
      <c r="U26" s="2"/>
      <c r="V26" s="2"/>
      <c r="W26" s="2"/>
      <c r="X26" s="2"/>
      <c r="Y26" s="2"/>
      <c r="Z26" s="2"/>
      <c r="AA26" s="2"/>
      <c r="AB26" s="2"/>
      <c r="AC26" s="2"/>
      <c r="AD26" s="2"/>
    </row>
    <row r="27" spans="1:30" ht="12.75" x14ac:dyDescent="0.2">
      <c r="A27" s="2"/>
      <c r="B27" s="2"/>
      <c r="C27" s="2"/>
      <c r="D27" s="2"/>
      <c r="E27" s="2"/>
      <c r="F27" s="2"/>
      <c r="G27" s="2"/>
      <c r="H27" s="2"/>
      <c r="I27" s="2"/>
      <c r="M27" s="2"/>
      <c r="N27" s="2"/>
      <c r="O27" s="9"/>
      <c r="P27" s="2"/>
      <c r="Q27" s="2"/>
      <c r="R27" s="2"/>
      <c r="S27" s="2"/>
      <c r="T27" s="2"/>
      <c r="U27" s="2"/>
      <c r="V27" s="2"/>
      <c r="W27" s="2"/>
      <c r="X27" s="2"/>
      <c r="Y27" s="2"/>
      <c r="Z27" s="2"/>
      <c r="AA27" s="2"/>
      <c r="AB27" s="2"/>
      <c r="AC27" s="2"/>
      <c r="AD27" s="2"/>
    </row>
    <row r="28" spans="1:30" ht="12.75" x14ac:dyDescent="0.2">
      <c r="A28" s="2"/>
      <c r="B28" s="2"/>
      <c r="C28" s="2"/>
      <c r="D28" s="2"/>
      <c r="E28" s="2"/>
      <c r="F28" s="2"/>
      <c r="G28" s="2"/>
      <c r="H28" s="2"/>
      <c r="I28" s="2"/>
      <c r="M28" s="2"/>
      <c r="N28" s="2"/>
      <c r="O28" s="9"/>
      <c r="P28" s="2"/>
      <c r="Q28" s="2"/>
      <c r="R28" s="2"/>
      <c r="S28" s="2"/>
      <c r="T28" s="2"/>
      <c r="U28" s="2"/>
      <c r="V28" s="2"/>
      <c r="W28" s="2"/>
      <c r="X28" s="2"/>
      <c r="Y28" s="2"/>
      <c r="Z28" s="2"/>
      <c r="AA28" s="2"/>
      <c r="AB28" s="2"/>
      <c r="AC28" s="2"/>
      <c r="AD28" s="2"/>
    </row>
    <row r="29" spans="1:30" ht="12.75" x14ac:dyDescent="0.2">
      <c r="A29" s="2"/>
      <c r="B29" s="2"/>
      <c r="C29" s="2"/>
      <c r="D29" s="2"/>
      <c r="E29" s="2"/>
      <c r="F29" s="2"/>
      <c r="G29" s="2"/>
      <c r="H29" s="2"/>
      <c r="I29" s="2"/>
      <c r="M29" s="2"/>
      <c r="N29" s="2"/>
      <c r="O29" s="9"/>
      <c r="P29" s="2"/>
      <c r="Q29" s="2"/>
      <c r="R29" s="2"/>
      <c r="S29" s="2"/>
      <c r="T29" s="2"/>
      <c r="U29" s="2"/>
      <c r="V29" s="2"/>
      <c r="W29" s="2"/>
      <c r="X29" s="2"/>
      <c r="Y29" s="2"/>
      <c r="Z29" s="2"/>
      <c r="AA29" s="2"/>
      <c r="AB29" s="2"/>
      <c r="AC29" s="2"/>
      <c r="AD29" s="2"/>
    </row>
    <row r="30" spans="1:30" ht="12.75" x14ac:dyDescent="0.2">
      <c r="A30" s="2"/>
      <c r="B30" s="2"/>
      <c r="C30" s="2"/>
      <c r="D30" s="2"/>
      <c r="E30" s="2"/>
      <c r="F30" s="2"/>
      <c r="G30" s="2"/>
      <c r="H30" s="2"/>
      <c r="I30" s="2"/>
      <c r="N30" s="2"/>
      <c r="O30" s="9"/>
      <c r="P30" s="2"/>
      <c r="Q30" s="2"/>
      <c r="R30" s="2"/>
      <c r="S30" s="2"/>
      <c r="T30" s="2"/>
      <c r="U30" s="2"/>
      <c r="V30" s="2"/>
      <c r="W30" s="2"/>
      <c r="X30" s="2"/>
      <c r="Y30" s="2"/>
      <c r="Z30" s="2"/>
      <c r="AA30" s="2"/>
      <c r="AB30" s="2"/>
      <c r="AC30" s="2"/>
      <c r="AD30" s="2"/>
    </row>
    <row r="31" spans="1:30" ht="12.75" x14ac:dyDescent="0.2">
      <c r="A31" s="2"/>
      <c r="B31" s="2"/>
      <c r="C31" s="2"/>
      <c r="D31" s="2"/>
      <c r="E31" s="2"/>
      <c r="F31" s="2"/>
      <c r="G31" s="2"/>
      <c r="H31" s="2"/>
      <c r="I31" s="2"/>
      <c r="M31" s="2"/>
      <c r="N31" s="2"/>
      <c r="O31" s="9"/>
      <c r="P31" s="2"/>
      <c r="Q31" s="2"/>
      <c r="R31" s="2"/>
      <c r="S31" s="2"/>
      <c r="T31" s="2"/>
      <c r="U31" s="2"/>
      <c r="V31" s="2"/>
      <c r="W31" s="2"/>
      <c r="X31" s="2"/>
      <c r="Y31" s="2"/>
      <c r="Z31" s="2"/>
      <c r="AA31" s="2"/>
      <c r="AB31" s="2"/>
      <c r="AC31" s="2"/>
      <c r="AD31" s="2"/>
    </row>
    <row r="32" spans="1:30" ht="12.75" customHeight="1" x14ac:dyDescent="0.2">
      <c r="A32" s="18" t="s">
        <v>81</v>
      </c>
      <c r="B32" s="18"/>
      <c r="C32" s="18"/>
      <c r="D32" s="18"/>
      <c r="E32" s="18"/>
      <c r="F32" s="18"/>
      <c r="G32" s="18"/>
      <c r="H32" s="2"/>
      <c r="I32" s="2"/>
      <c r="M32" s="2"/>
      <c r="N32" s="2"/>
      <c r="O32" s="9"/>
      <c r="P32" s="2"/>
      <c r="Q32" s="2"/>
      <c r="R32" s="2"/>
      <c r="S32" s="2"/>
      <c r="T32" s="2"/>
      <c r="U32" s="2"/>
      <c r="V32" s="2"/>
      <c r="W32" s="2"/>
      <c r="X32" s="2"/>
      <c r="Y32" s="2"/>
      <c r="Z32" s="2"/>
      <c r="AA32" s="2"/>
      <c r="AB32" s="2"/>
      <c r="AC32" s="2"/>
      <c r="AD32" s="2"/>
    </row>
    <row r="33" spans="1:30" ht="12.75" x14ac:dyDescent="0.2">
      <c r="A33" s="18"/>
      <c r="B33" s="18"/>
      <c r="C33" s="18"/>
      <c r="D33" s="18"/>
      <c r="E33" s="18"/>
      <c r="F33" s="18"/>
      <c r="G33" s="18"/>
      <c r="H33" s="2"/>
      <c r="I33" s="2"/>
      <c r="M33" s="2"/>
      <c r="N33" s="2"/>
      <c r="O33" s="9"/>
      <c r="P33" s="2"/>
      <c r="Q33" s="2"/>
      <c r="R33" s="2"/>
      <c r="S33" s="2"/>
      <c r="T33" s="2"/>
      <c r="U33" s="2"/>
      <c r="V33" s="2"/>
      <c r="W33" s="2"/>
      <c r="X33" s="2"/>
      <c r="Y33" s="2"/>
      <c r="Z33" s="2"/>
      <c r="AA33" s="2"/>
      <c r="AB33" s="2"/>
      <c r="AC33" s="2"/>
      <c r="AD33" s="2"/>
    </row>
    <row r="34" spans="1:30" ht="12.75" x14ac:dyDescent="0.2">
      <c r="A34" s="18"/>
      <c r="B34" s="18"/>
      <c r="C34" s="18"/>
      <c r="D34" s="18"/>
      <c r="E34" s="18"/>
      <c r="F34" s="18"/>
      <c r="G34" s="18"/>
      <c r="H34" s="2"/>
      <c r="I34" s="2"/>
      <c r="M34" s="2"/>
      <c r="N34" s="2"/>
      <c r="O34" s="9"/>
      <c r="P34" s="2"/>
      <c r="Q34" s="2"/>
      <c r="R34" s="2"/>
      <c r="S34" s="2"/>
      <c r="T34" s="2"/>
      <c r="U34" s="2"/>
      <c r="V34" s="2"/>
      <c r="W34" s="2"/>
      <c r="X34" s="2"/>
      <c r="Y34" s="2"/>
      <c r="Z34" s="2"/>
      <c r="AA34" s="2"/>
      <c r="AB34" s="2"/>
      <c r="AC34" s="2"/>
      <c r="AD34" s="2"/>
    </row>
    <row r="35" spans="1:30" ht="12.75" x14ac:dyDescent="0.2">
      <c r="A35" s="18"/>
      <c r="B35" s="18"/>
      <c r="C35" s="18"/>
      <c r="D35" s="18"/>
      <c r="E35" s="18"/>
      <c r="F35" s="18"/>
      <c r="G35" s="18"/>
      <c r="H35" s="2"/>
      <c r="I35" s="2"/>
      <c r="M35" s="2"/>
      <c r="N35" s="2"/>
      <c r="O35" s="9"/>
      <c r="P35" s="2"/>
      <c r="Q35" s="2"/>
      <c r="R35" s="2"/>
      <c r="S35" s="2"/>
      <c r="T35" s="2"/>
      <c r="U35" s="2"/>
      <c r="V35" s="2"/>
      <c r="W35" s="2"/>
      <c r="X35" s="2"/>
      <c r="Y35" s="2"/>
      <c r="Z35" s="2"/>
      <c r="AA35" s="2"/>
      <c r="AB35" s="2"/>
      <c r="AC35" s="2"/>
      <c r="AD35" s="2"/>
    </row>
    <row r="36" spans="1:30" ht="12.75" x14ac:dyDescent="0.2">
      <c r="A36" s="18"/>
      <c r="B36" s="18"/>
      <c r="C36" s="18"/>
      <c r="D36" s="18"/>
      <c r="E36" s="18"/>
      <c r="F36" s="18"/>
      <c r="G36" s="18"/>
      <c r="H36" s="2"/>
      <c r="I36" s="2"/>
      <c r="M36" s="2"/>
      <c r="N36" s="2"/>
      <c r="O36" s="9"/>
      <c r="P36" s="2"/>
      <c r="Q36" s="2"/>
      <c r="R36" s="2"/>
      <c r="S36" s="2"/>
      <c r="T36" s="2"/>
      <c r="U36" s="2"/>
      <c r="V36" s="2"/>
      <c r="W36" s="2"/>
      <c r="X36" s="2"/>
      <c r="Y36" s="2"/>
      <c r="Z36" s="2"/>
      <c r="AA36" s="2"/>
      <c r="AB36" s="2"/>
      <c r="AC36" s="2"/>
      <c r="AD36" s="2"/>
    </row>
    <row r="37" spans="1:30" ht="12.75" x14ac:dyDescent="0.2">
      <c r="A37" s="18"/>
      <c r="B37" s="18"/>
      <c r="C37" s="18"/>
      <c r="D37" s="18"/>
      <c r="E37" s="18"/>
      <c r="F37" s="18"/>
      <c r="G37" s="18"/>
      <c r="H37" s="2"/>
      <c r="I37" s="2"/>
      <c r="M37" s="2"/>
      <c r="N37" s="2"/>
      <c r="O37" s="9"/>
      <c r="P37" s="2"/>
      <c r="Q37" s="2"/>
      <c r="R37" s="2"/>
      <c r="S37" s="2"/>
      <c r="T37" s="2"/>
      <c r="U37" s="2"/>
      <c r="V37" s="2"/>
      <c r="W37" s="2"/>
      <c r="X37" s="2"/>
      <c r="Y37" s="2"/>
      <c r="Z37" s="2"/>
      <c r="AA37" s="2"/>
      <c r="AB37" s="2"/>
      <c r="AC37" s="2"/>
      <c r="AD37" s="2"/>
    </row>
    <row r="38" spans="1:30" ht="12.75" x14ac:dyDescent="0.2">
      <c r="A38" s="18"/>
      <c r="B38" s="18"/>
      <c r="C38" s="18"/>
      <c r="D38" s="18"/>
      <c r="E38" s="18"/>
      <c r="F38" s="18"/>
      <c r="G38" s="18"/>
      <c r="H38" s="2"/>
      <c r="I38" s="2"/>
      <c r="M38" s="2"/>
      <c r="N38" s="2"/>
      <c r="O38" s="2"/>
      <c r="P38" s="2"/>
      <c r="Q38" s="2"/>
      <c r="R38" s="2"/>
      <c r="S38" s="2"/>
      <c r="T38" s="2"/>
      <c r="U38" s="2"/>
      <c r="V38" s="2"/>
      <c r="W38" s="2"/>
      <c r="X38" s="2"/>
      <c r="Y38" s="2"/>
      <c r="Z38" s="2"/>
      <c r="AA38" s="2"/>
      <c r="AB38" s="2"/>
      <c r="AC38" s="2"/>
      <c r="AD38" s="2"/>
    </row>
    <row r="39" spans="1:30" ht="12.75" x14ac:dyDescent="0.2">
      <c r="A39" s="18"/>
      <c r="B39" s="18"/>
      <c r="C39" s="18"/>
      <c r="D39" s="18"/>
      <c r="E39" s="18"/>
      <c r="F39" s="18"/>
      <c r="G39" s="18"/>
      <c r="H39" s="2"/>
      <c r="I39" s="2"/>
      <c r="M39" s="2"/>
      <c r="N39" s="2"/>
      <c r="O39" s="2"/>
      <c r="P39" s="2"/>
      <c r="Q39" s="2"/>
      <c r="R39" s="2"/>
      <c r="S39" s="2"/>
      <c r="T39" s="2"/>
      <c r="U39" s="2"/>
      <c r="V39" s="2"/>
      <c r="W39" s="2"/>
      <c r="X39" s="2"/>
      <c r="Y39" s="2"/>
      <c r="Z39" s="2"/>
      <c r="AA39" s="2"/>
      <c r="AB39" s="2"/>
      <c r="AC39" s="2"/>
      <c r="AD39" s="2"/>
    </row>
    <row r="40" spans="1:30" ht="12.75" x14ac:dyDescent="0.2">
      <c r="A40" s="18"/>
      <c r="B40" s="18"/>
      <c r="C40" s="18"/>
      <c r="D40" s="18"/>
      <c r="E40" s="18"/>
      <c r="F40" s="18"/>
      <c r="G40" s="18"/>
      <c r="H40" s="2"/>
      <c r="I40" s="2"/>
      <c r="M40" s="2"/>
      <c r="N40" s="2"/>
      <c r="O40" s="2"/>
      <c r="P40" s="2"/>
      <c r="Q40" s="2"/>
      <c r="R40" s="2"/>
      <c r="S40" s="2"/>
      <c r="T40" s="2"/>
      <c r="U40" s="2"/>
      <c r="V40" s="2"/>
      <c r="W40" s="2"/>
      <c r="X40" s="2"/>
      <c r="Y40" s="2"/>
      <c r="Z40" s="2"/>
      <c r="AA40" s="2"/>
      <c r="AB40" s="2"/>
      <c r="AC40" s="2"/>
      <c r="AD40" s="2"/>
    </row>
    <row r="41" spans="1:30" ht="12.75" x14ac:dyDescent="0.2">
      <c r="A41" s="18"/>
      <c r="B41" s="18"/>
      <c r="C41" s="18"/>
      <c r="D41" s="18"/>
      <c r="E41" s="18"/>
      <c r="F41" s="18"/>
      <c r="G41" s="18"/>
      <c r="H41" s="2"/>
      <c r="I41" s="2"/>
      <c r="M41" s="2"/>
      <c r="N41" s="2"/>
      <c r="O41" s="2"/>
      <c r="P41" s="2"/>
      <c r="Q41" s="2"/>
      <c r="R41" s="2"/>
      <c r="S41" s="2"/>
      <c r="T41" s="2"/>
      <c r="U41" s="2"/>
      <c r="V41" s="2"/>
      <c r="W41" s="2"/>
      <c r="X41" s="2"/>
      <c r="Y41" s="2"/>
      <c r="Z41" s="2"/>
      <c r="AA41" s="2"/>
      <c r="AB41" s="2"/>
      <c r="AC41" s="2"/>
      <c r="AD41" s="2"/>
    </row>
    <row r="42" spans="1:30" ht="12.75" x14ac:dyDescent="0.2">
      <c r="A42" s="2"/>
      <c r="B42" s="2"/>
      <c r="C42" s="2"/>
      <c r="D42" s="2"/>
      <c r="E42" s="2"/>
      <c r="F42" s="2"/>
      <c r="G42" s="2"/>
      <c r="H42" s="2"/>
      <c r="I42" s="2"/>
      <c r="M42" s="2"/>
      <c r="N42" s="2"/>
      <c r="O42" s="2"/>
      <c r="P42" s="2"/>
      <c r="Q42" s="2"/>
      <c r="R42" s="2"/>
      <c r="S42" s="2"/>
      <c r="T42" s="2"/>
      <c r="U42" s="2"/>
      <c r="V42" s="2"/>
      <c r="W42" s="2"/>
      <c r="X42" s="2"/>
      <c r="Y42" s="2"/>
      <c r="Z42" s="2"/>
      <c r="AA42" s="2"/>
      <c r="AB42" s="2"/>
      <c r="AC42" s="2"/>
      <c r="AD42" s="2"/>
    </row>
    <row r="43" spans="1:30" ht="12.75" x14ac:dyDescent="0.2">
      <c r="A43" s="2"/>
      <c r="B43" s="2"/>
      <c r="C43" s="2"/>
      <c r="D43" s="2"/>
      <c r="E43" s="2"/>
      <c r="F43" s="2"/>
      <c r="G43" s="2"/>
      <c r="H43" s="2"/>
      <c r="I43" s="2"/>
      <c r="M43" s="2"/>
      <c r="N43" s="2"/>
      <c r="O43" s="2"/>
      <c r="P43" s="2"/>
      <c r="Q43" s="2"/>
      <c r="R43" s="2"/>
      <c r="S43" s="2"/>
      <c r="T43" s="2"/>
      <c r="U43" s="2"/>
      <c r="V43" s="2"/>
      <c r="W43" s="2"/>
      <c r="X43" s="2"/>
      <c r="Y43" s="2"/>
      <c r="Z43" s="2"/>
      <c r="AA43" s="2"/>
      <c r="AB43" s="2"/>
      <c r="AC43" s="2"/>
      <c r="AD43" s="2"/>
    </row>
    <row r="44" spans="1:30" ht="12.75"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ht="12.75"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ht="12.75"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ht="12.75"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ht="12.75"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ht="12.75"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ht="12.75"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ht="12.75"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ht="12.75"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ht="12.75"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ht="12.75"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ht="12.75"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ht="12.75"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ht="12.75"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ht="12.75"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ht="12.75"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ht="12.75"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ht="12.75"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ht="12.75"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ht="12.75"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ht="12.75"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ht="12.75"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ht="12.75"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2.75"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ht="12.75"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ht="12.75"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ht="12.75"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ht="12.75"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ht="12.75"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ht="12.75"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ht="12.75"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ht="12.75"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ht="12.75"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ht="12.75"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ht="12.75"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ht="12.75"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ht="12.75"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ht="12.75"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ht="12.75"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ht="12.75"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ht="12.75"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ht="12.75"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ht="12.75"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ht="12.75"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ht="12.75"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ht="12.75"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ht="12.75"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ht="12.75"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ht="12.75"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ht="12.75"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ht="12.75"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ht="12.75"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ht="12.75"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ht="12.75"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ht="12.75"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ht="12.75"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ht="12.75"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ht="12.75"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ht="12.75"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ht="12.75"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ht="12.75"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ht="12.75"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ht="12.75"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ht="12.75"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ht="12.75"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ht="12.75"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ht="12.75"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ht="12.75"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ht="12.75"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ht="12.75"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ht="12.75"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ht="12.75"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ht="12.75"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ht="12.75"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ht="12.75"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ht="12.75"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ht="12.75"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ht="12.75"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ht="12.75"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ht="12.75"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ht="12.75"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ht="12.75"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ht="12.75"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ht="12.75"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ht="12.75"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ht="12.7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ht="12.7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ht="12.7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ht="12.7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ht="12.7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ht="12.7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ht="12.7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ht="12.7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ht="12.7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ht="12.7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ht="12.7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ht="12.7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ht="12.7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ht="12.7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ht="12.7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ht="12.7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ht="12.7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ht="12.7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ht="12.7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ht="12.7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ht="12.7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ht="12.7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ht="12.7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ht="12.7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ht="12.7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ht="12.7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ht="12.7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ht="12.7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ht="12.7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ht="12.7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ht="12.7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ht="12.7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ht="12.7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ht="12.7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2.7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ht="12.7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ht="12.7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ht="12.7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ht="12.7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ht="12.7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ht="12.7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ht="12.7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ht="12.7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ht="12.7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ht="12.7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ht="12.7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ht="12.7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ht="12.7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ht="12.7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ht="12.7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ht="12.7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ht="12.7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ht="12.7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ht="12.7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ht="12.7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ht="12.7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ht="12.7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ht="12.7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ht="12.7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ht="12.7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ht="12.7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ht="12.7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ht="12.7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ht="12.7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ht="12.7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ht="12.7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ht="12.7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ht="12.7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ht="12.7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ht="12.7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ht="12.7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ht="12.7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ht="12.7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ht="12.7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ht="12.7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ht="12.7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ht="12.7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ht="12.7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ht="12.7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ht="12.7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ht="12.7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ht="12.7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ht="12.7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ht="12.7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ht="12.7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ht="12.7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ht="12.7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ht="12.7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ht="12.7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ht="12.7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ht="12.7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ht="12.7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ht="12.7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ht="12.7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ht="12.7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ht="12.7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ht="12.7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ht="12.7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ht="12.7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ht="12.7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ht="12.7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ht="12.7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ht="12.7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ht="12.7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ht="12.7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ht="12.7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ht="12.7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ht="12.7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ht="12.7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ht="12.7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ht="12.7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ht="12.7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ht="12.7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ht="12.7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ht="12.7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ht="12.7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ht="12.7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ht="12.7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ht="12.7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ht="12.7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ht="12.7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ht="12.7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ht="12.7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ht="12.7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ht="12.7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ht="12.7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ht="12.7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ht="12.7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ht="12.7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ht="12.7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ht="12.7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ht="12.7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ht="12.7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ht="12.7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ht="12.7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ht="12.7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ht="12.7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ht="12.7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ht="12.7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ht="12.7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ht="12.7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ht="12.7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ht="12.7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ht="12.7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ht="12.7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ht="12.7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ht="12.7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ht="12.7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ht="12.7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ht="12.7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ht="12.7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ht="12.7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ht="12.7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ht="12.7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ht="12.7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ht="12.7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ht="12.7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ht="12.7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ht="12.7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ht="12.7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ht="12.7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ht="12.7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ht="12.7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ht="12.7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ht="12.7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ht="12.7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ht="12.7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ht="12.7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ht="12.7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ht="12.7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ht="12.7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ht="12.7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ht="12.7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ht="12.7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ht="12.7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ht="12.7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ht="12.7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ht="12.7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ht="12.7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ht="12.7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ht="12.7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ht="12.7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ht="12.7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ht="12.7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ht="12.7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ht="12.7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ht="12.7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ht="12.7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ht="12.7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ht="12.7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2.7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ht="12.7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ht="12.7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ht="12.7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ht="12.7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ht="12.7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ht="12.7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ht="12.7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ht="12.7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ht="12.7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ht="12.7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ht="12.7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ht="12.7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ht="12.7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ht="12.7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ht="12.7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ht="12.7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ht="12.7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ht="12.7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ht="12.7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ht="12.7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ht="12.7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ht="12.7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ht="12.7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ht="12.7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ht="12.7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ht="12.7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ht="12.7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ht="12.7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ht="12.7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ht="12.7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ht="12.7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ht="12.7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ht="12.7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ht="12.7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ht="12.7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ht="12.7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ht="12.7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ht="12.7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ht="12.7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ht="12.7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ht="12.7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ht="12.7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ht="12.7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ht="12.7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ht="12.7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ht="12.7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ht="12.7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ht="12.7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ht="12.7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ht="12.7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ht="12.7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ht="12.7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ht="12.7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ht="12.7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ht="12.7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ht="12.7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ht="12.7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ht="12.7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ht="12.7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ht="12.7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ht="12.7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ht="12.7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ht="12.7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ht="12.7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ht="12.7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ht="12.7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ht="12.7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ht="12.7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ht="12.7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ht="12.7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ht="12.7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ht="12.7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ht="12.7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ht="12.7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ht="12.7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ht="12.7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ht="12.7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ht="12.7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ht="12.7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ht="12.7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ht="12.7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ht="12.7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ht="12.7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ht="12.7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ht="12.7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ht="12.7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ht="12.7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ht="12.7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ht="12.7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ht="12.7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ht="12.7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ht="12.7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ht="12.7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ht="12.7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ht="12.7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ht="12.7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ht="12.7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ht="12.7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ht="12.7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ht="12.7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ht="12.7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ht="12.7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ht="12.7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ht="12.7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ht="12.7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ht="12.7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ht="12.7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ht="12.7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ht="12.7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ht="12.7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ht="12.7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ht="12.7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ht="12.7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ht="12.7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ht="12.7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ht="12.7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ht="12.7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ht="12.7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ht="12.7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ht="12.7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ht="12.7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ht="12.7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ht="12.7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ht="12.7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ht="12.7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ht="12.7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ht="12.7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ht="12.7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ht="12.7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ht="12.7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ht="12.7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ht="12.7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ht="12.7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ht="12.7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ht="12.7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ht="12.7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ht="12.7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ht="12.7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ht="12.7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ht="12.7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ht="12.7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ht="12.7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ht="12.7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ht="12.7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ht="12.7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ht="12.7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ht="12.7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ht="12.7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ht="12.7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ht="12.7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ht="12.7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ht="12.7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ht="12.7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ht="12.7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ht="12.7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2.7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ht="12.7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ht="12.7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ht="12.7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ht="12.7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ht="12.7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ht="12.7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ht="12.7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ht="12.7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ht="12.7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ht="12.7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ht="12.7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ht="12.7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ht="12.7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ht="12.7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ht="12.7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ht="12.7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ht="12.7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ht="12.7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ht="12.7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ht="12.7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ht="12.7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ht="12.7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ht="12.7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ht="12.7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ht="12.7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ht="12.7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ht="12.7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ht="12.7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ht="12.7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ht="12.7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ht="12.7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ht="12.7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ht="12.7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ht="12.7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ht="12.7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ht="12.7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ht="12.7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ht="12.7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ht="12.7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ht="12.7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ht="12.7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ht="12.7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ht="12.7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ht="12.7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ht="12.7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ht="12.7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ht="12.7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ht="12.7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ht="12.7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ht="12.7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ht="12.7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ht="12.7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ht="12.7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ht="12.7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ht="12.7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ht="12.7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ht="12.7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ht="12.7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ht="12.7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ht="12.7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ht="12.7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ht="12.7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ht="12.7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ht="12.7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ht="12.7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ht="12.7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ht="12.7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ht="12.7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ht="12.7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ht="12.7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ht="12.7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ht="12.7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ht="12.7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ht="12.7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ht="12.7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ht="12.7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ht="12.7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ht="12.7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ht="12.7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ht="12.7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ht="12.7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ht="12.7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ht="12.7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ht="12.7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ht="12.7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ht="12.7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ht="12.7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ht="12.7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ht="12.7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ht="12.7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ht="12.7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ht="12.7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ht="12.7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ht="12.7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ht="12.7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ht="12.7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ht="12.7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ht="12.7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ht="12.7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ht="12.7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ht="12.7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ht="12.7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ht="12.7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ht="12.7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ht="12.7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ht="12.7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ht="12.7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ht="12.75"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ht="12.75"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ht="12.75"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ht="12.75"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ht="12.75"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ht="12.75"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ht="12.75"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ht="12.75"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ht="12.75"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autoFilter ref="A1:G26" xr:uid="{00000000-0001-0000-0000-000000000000}">
    <sortState xmlns:xlrd2="http://schemas.microsoft.com/office/spreadsheetml/2017/richdata2" ref="A2:G26">
      <sortCondition ref="D1"/>
    </sortState>
  </autoFilter>
  <mergeCells count="1">
    <mergeCell ref="A32:G41"/>
  </mergeCells>
  <conditionalFormatting sqref="D2:D26">
    <cfRule type="cellIs" dxfId="0" priority="1" operator="greaterThan">
      <formula>100</formula>
    </cfRule>
  </conditionalFormatting>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75" customHeight="1" x14ac:dyDescent="0.2"/>
  <sheetData>
    <row r="1" spans="1:26" x14ac:dyDescent="0.2">
      <c r="A1" s="1" t="s">
        <v>1</v>
      </c>
      <c r="B1" s="1" t="s">
        <v>5</v>
      </c>
      <c r="C1" s="2"/>
      <c r="D1" s="2"/>
      <c r="E1" s="2"/>
      <c r="F1" s="2"/>
      <c r="G1" s="2"/>
      <c r="H1" s="2"/>
      <c r="I1" s="2"/>
      <c r="J1" s="2"/>
      <c r="K1" s="2"/>
      <c r="L1" s="2"/>
      <c r="M1" s="2"/>
      <c r="N1" s="2"/>
      <c r="O1" s="2"/>
      <c r="P1" s="2"/>
      <c r="Q1" s="2"/>
      <c r="R1" s="2"/>
      <c r="S1" s="2"/>
      <c r="T1" s="2"/>
      <c r="U1" s="2"/>
      <c r="V1" s="2"/>
      <c r="W1" s="2"/>
      <c r="X1" s="2"/>
      <c r="Y1" s="2"/>
      <c r="Z1" s="2"/>
    </row>
    <row r="2" spans="1:26" x14ac:dyDescent="0.2">
      <c r="A2" s="4" t="s">
        <v>8</v>
      </c>
      <c r="B2" s="4" t="s">
        <v>8</v>
      </c>
      <c r="C2" s="7"/>
      <c r="D2" s="2"/>
      <c r="E2" s="2"/>
      <c r="F2" s="2"/>
      <c r="G2" s="2"/>
      <c r="H2" s="2"/>
      <c r="I2" s="2"/>
      <c r="J2" s="2"/>
      <c r="K2" s="2"/>
      <c r="L2" s="2"/>
      <c r="M2" s="2"/>
      <c r="N2" s="2"/>
      <c r="O2" s="2"/>
      <c r="P2" s="2"/>
      <c r="Q2" s="2"/>
      <c r="R2" s="2"/>
      <c r="S2" s="2"/>
      <c r="T2" s="2"/>
      <c r="U2" s="2"/>
      <c r="V2" s="2"/>
      <c r="W2" s="2"/>
      <c r="X2" s="2"/>
      <c r="Y2" s="2"/>
      <c r="Z2" s="2"/>
    </row>
    <row r="3" spans="1:26" x14ac:dyDescent="0.2">
      <c r="A3" s="4" t="s">
        <v>38</v>
      </c>
      <c r="B3" s="4" t="s">
        <v>38</v>
      </c>
      <c r="C3" s="7"/>
      <c r="D3" s="2"/>
      <c r="E3" s="2"/>
      <c r="F3" s="2"/>
      <c r="G3" s="2"/>
      <c r="H3" s="2"/>
      <c r="I3" s="2"/>
      <c r="J3" s="2"/>
      <c r="K3" s="2"/>
      <c r="L3" s="2"/>
      <c r="M3" s="2"/>
      <c r="N3" s="2"/>
      <c r="O3" s="2"/>
      <c r="P3" s="2"/>
      <c r="Q3" s="2"/>
      <c r="R3" s="2"/>
      <c r="S3" s="2"/>
      <c r="T3" s="2"/>
      <c r="U3" s="2"/>
      <c r="V3" s="2"/>
      <c r="W3" s="2"/>
      <c r="X3" s="2"/>
      <c r="Y3" s="2"/>
      <c r="Z3" s="2"/>
    </row>
    <row r="4" spans="1:26" x14ac:dyDescent="0.2">
      <c r="A4" s="4" t="s">
        <v>43</v>
      </c>
      <c r="B4" s="4" t="s">
        <v>43</v>
      </c>
      <c r="C4" s="7"/>
      <c r="D4" s="2"/>
      <c r="E4" s="2"/>
      <c r="F4" s="2"/>
      <c r="G4" s="2"/>
      <c r="H4" s="2"/>
      <c r="I4" s="2"/>
      <c r="J4" s="2"/>
      <c r="K4" s="2"/>
      <c r="L4" s="2"/>
      <c r="M4" s="2"/>
      <c r="N4" s="2"/>
      <c r="O4" s="2"/>
      <c r="P4" s="2"/>
      <c r="Q4" s="2"/>
      <c r="R4" s="2"/>
      <c r="S4" s="2"/>
      <c r="T4" s="2"/>
      <c r="U4" s="2"/>
      <c r="V4" s="2"/>
      <c r="W4" s="2"/>
      <c r="X4" s="2"/>
      <c r="Y4" s="2"/>
      <c r="Z4" s="2"/>
    </row>
    <row r="5" spans="1:26" x14ac:dyDescent="0.2">
      <c r="A5" s="4" t="s">
        <v>48</v>
      </c>
      <c r="B5" s="4" t="s">
        <v>48</v>
      </c>
      <c r="C5" s="7"/>
      <c r="D5" s="2"/>
      <c r="E5" s="2"/>
      <c r="F5" s="2"/>
      <c r="G5" s="2"/>
      <c r="H5" s="2"/>
      <c r="I5" s="2"/>
      <c r="J5" s="2"/>
      <c r="K5" s="2"/>
      <c r="L5" s="2"/>
      <c r="M5" s="2"/>
      <c r="N5" s="2"/>
      <c r="O5" s="2"/>
      <c r="P5" s="2"/>
      <c r="Q5" s="2"/>
      <c r="R5" s="2"/>
      <c r="S5" s="2"/>
      <c r="T5" s="2"/>
      <c r="U5" s="2"/>
      <c r="V5" s="2"/>
      <c r="W5" s="2"/>
      <c r="X5" s="2"/>
      <c r="Y5" s="2"/>
      <c r="Z5" s="2"/>
    </row>
    <row r="6" spans="1:26" x14ac:dyDescent="0.2">
      <c r="A6" s="4" t="s">
        <v>18</v>
      </c>
      <c r="B6" s="4" t="s">
        <v>18</v>
      </c>
      <c r="C6" s="7"/>
      <c r="D6" s="2"/>
      <c r="E6" s="2"/>
      <c r="F6" s="2"/>
      <c r="G6" s="2"/>
      <c r="H6" s="2"/>
      <c r="I6" s="2"/>
      <c r="J6" s="2"/>
      <c r="K6" s="2"/>
      <c r="L6" s="2"/>
      <c r="M6" s="2"/>
      <c r="N6" s="2"/>
      <c r="O6" s="2"/>
      <c r="P6" s="2"/>
      <c r="Q6" s="2"/>
      <c r="R6" s="2"/>
      <c r="S6" s="2"/>
      <c r="T6" s="2"/>
      <c r="U6" s="2"/>
      <c r="V6" s="2"/>
      <c r="W6" s="2"/>
      <c r="X6" s="2"/>
      <c r="Y6" s="2"/>
      <c r="Z6" s="2"/>
    </row>
    <row r="7" spans="1:26" x14ac:dyDescent="0.2">
      <c r="A7" s="2"/>
      <c r="B7" s="2"/>
      <c r="C7" s="2"/>
      <c r="D7" s="2"/>
      <c r="E7" s="2"/>
      <c r="F7" s="2"/>
      <c r="G7" s="2"/>
      <c r="H7" s="2"/>
      <c r="I7" s="2"/>
      <c r="J7" s="2"/>
      <c r="K7" s="2"/>
      <c r="L7" s="2"/>
      <c r="M7" s="2"/>
      <c r="N7" s="2"/>
      <c r="O7" s="2"/>
      <c r="P7" s="2"/>
      <c r="Q7" s="2"/>
      <c r="R7" s="2"/>
      <c r="S7" s="2"/>
      <c r="T7" s="2"/>
      <c r="U7" s="2"/>
      <c r="V7" s="2"/>
      <c r="W7" s="2"/>
      <c r="X7" s="2"/>
      <c r="Y7" s="2"/>
      <c r="Z7" s="2"/>
    </row>
    <row r="8" spans="1:26" x14ac:dyDescent="0.2">
      <c r="A8" s="2"/>
      <c r="B8" s="2"/>
      <c r="C8" s="2"/>
      <c r="D8" s="2"/>
      <c r="E8" s="2"/>
      <c r="F8" s="2"/>
      <c r="G8" s="2"/>
      <c r="H8" s="2"/>
      <c r="I8" s="2"/>
      <c r="J8" s="2"/>
      <c r="K8" s="2"/>
      <c r="L8" s="2"/>
      <c r="M8" s="2"/>
      <c r="N8" s="2"/>
      <c r="O8" s="2"/>
      <c r="P8" s="2"/>
      <c r="Q8" s="2"/>
      <c r="R8" s="2"/>
      <c r="S8" s="2"/>
      <c r="T8" s="2"/>
      <c r="U8" s="2"/>
      <c r="V8" s="2"/>
      <c r="W8" s="2"/>
      <c r="X8" s="2"/>
      <c r="Y8" s="2"/>
      <c r="Z8" s="2"/>
    </row>
    <row r="9" spans="1:26" x14ac:dyDescent="0.2">
      <c r="A9" s="2"/>
      <c r="B9" s="2"/>
      <c r="C9" s="2"/>
      <c r="D9" s="2"/>
      <c r="E9" s="2"/>
      <c r="F9" s="2"/>
      <c r="G9" s="2"/>
      <c r="H9" s="2"/>
      <c r="I9" s="2"/>
      <c r="J9" s="2"/>
      <c r="K9" s="2"/>
      <c r="L9" s="2"/>
      <c r="M9" s="2"/>
      <c r="N9" s="2"/>
      <c r="O9" s="2"/>
      <c r="P9" s="2"/>
      <c r="Q9" s="2"/>
      <c r="R9" s="2"/>
      <c r="S9" s="2"/>
      <c r="T9" s="2"/>
      <c r="U9" s="2"/>
      <c r="V9" s="2"/>
      <c r="W9" s="2"/>
      <c r="X9" s="2"/>
      <c r="Y9" s="2"/>
      <c r="Z9" s="2"/>
    </row>
    <row r="10" spans="1:26"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D474-6D4F-499A-ABDA-7B6016705F51}">
  <dimension ref="A3:I16"/>
  <sheetViews>
    <sheetView workbookViewId="0">
      <selection activeCell="B3" sqref="B3"/>
    </sheetView>
  </sheetViews>
  <sheetFormatPr defaultRowHeight="12.75" x14ac:dyDescent="0.2"/>
  <cols>
    <col min="1" max="1" width="25.28515625" bestFit="1" customWidth="1"/>
    <col min="2" max="2" width="21.5703125" bestFit="1" customWidth="1"/>
    <col min="3" max="3" width="11.28515625" bestFit="1" customWidth="1"/>
    <col min="4" max="5" width="8.140625" bestFit="1" customWidth="1"/>
    <col min="6" max="6" width="11.5703125" bestFit="1" customWidth="1"/>
    <col min="7" max="7" width="8.28515625" bestFit="1" customWidth="1"/>
    <col min="8" max="8" width="8.140625" bestFit="1" customWidth="1"/>
    <col min="9" max="9" width="18.7109375" bestFit="1" customWidth="1"/>
  </cols>
  <sheetData>
    <row r="3" spans="1:9" x14ac:dyDescent="0.2">
      <c r="A3" s="15" t="s">
        <v>68</v>
      </c>
      <c r="B3" s="15" t="s">
        <v>67</v>
      </c>
    </row>
    <row r="4" spans="1:9" x14ac:dyDescent="0.2">
      <c r="A4" s="15" t="s">
        <v>2</v>
      </c>
      <c r="B4" t="s">
        <v>10</v>
      </c>
      <c r="C4" t="s">
        <v>36</v>
      </c>
      <c r="D4" t="s">
        <v>19</v>
      </c>
      <c r="E4" t="s">
        <v>45</v>
      </c>
      <c r="F4" t="s">
        <v>12</v>
      </c>
      <c r="G4" t="s">
        <v>16</v>
      </c>
      <c r="H4" t="s">
        <v>22</v>
      </c>
      <c r="I4" t="s">
        <v>66</v>
      </c>
    </row>
    <row r="5" spans="1:9" x14ac:dyDescent="0.2">
      <c r="A5" s="16" t="s">
        <v>9</v>
      </c>
      <c r="B5" s="17">
        <v>250.85</v>
      </c>
      <c r="C5" s="17"/>
      <c r="D5" s="17"/>
      <c r="E5" s="17"/>
      <c r="F5" s="17">
        <v>38.04</v>
      </c>
      <c r="G5" s="17"/>
      <c r="H5" s="17"/>
      <c r="I5" s="17">
        <v>288.89</v>
      </c>
    </row>
    <row r="6" spans="1:9" x14ac:dyDescent="0.2">
      <c r="A6" s="16" t="s">
        <v>15</v>
      </c>
      <c r="B6" s="17"/>
      <c r="C6" s="17"/>
      <c r="D6" s="17">
        <v>52.47</v>
      </c>
      <c r="E6" s="17"/>
      <c r="F6" s="17"/>
      <c r="G6" s="17">
        <v>32.15</v>
      </c>
      <c r="H6" s="17"/>
      <c r="I6" s="17">
        <v>84.62</v>
      </c>
    </row>
    <row r="7" spans="1:9" x14ac:dyDescent="0.2">
      <c r="A7" s="16" t="s">
        <v>21</v>
      </c>
      <c r="B7" s="17"/>
      <c r="C7" s="17"/>
      <c r="D7" s="17">
        <v>10.3</v>
      </c>
      <c r="E7" s="17"/>
      <c r="F7" s="17"/>
      <c r="G7" s="17"/>
      <c r="H7" s="17">
        <v>31.11</v>
      </c>
      <c r="I7" s="17">
        <v>41.41</v>
      </c>
    </row>
    <row r="8" spans="1:9" x14ac:dyDescent="0.2">
      <c r="A8" s="16" t="s">
        <v>25</v>
      </c>
      <c r="B8" s="17">
        <v>108</v>
      </c>
      <c r="C8" s="17"/>
      <c r="D8" s="17">
        <v>26.03</v>
      </c>
      <c r="E8" s="17"/>
      <c r="F8" s="17">
        <v>92.42</v>
      </c>
      <c r="G8" s="17">
        <v>47.7</v>
      </c>
      <c r="H8" s="17">
        <v>53.1</v>
      </c>
      <c r="I8" s="17">
        <v>327.25</v>
      </c>
    </row>
    <row r="9" spans="1:9" x14ac:dyDescent="0.2">
      <c r="A9" s="16" t="s">
        <v>32</v>
      </c>
      <c r="B9" s="17">
        <v>140.12</v>
      </c>
      <c r="C9" s="17"/>
      <c r="D9" s="17"/>
      <c r="E9" s="17"/>
      <c r="F9" s="17">
        <v>23.31</v>
      </c>
      <c r="G9" s="17"/>
      <c r="H9" s="17"/>
      <c r="I9" s="17">
        <v>163.43</v>
      </c>
    </row>
    <row r="10" spans="1:9" x14ac:dyDescent="0.2">
      <c r="A10" s="16" t="s">
        <v>35</v>
      </c>
      <c r="B10" s="17">
        <v>52.16</v>
      </c>
      <c r="C10" s="17">
        <v>92.48</v>
      </c>
      <c r="D10" s="17"/>
      <c r="E10" s="17"/>
      <c r="F10" s="17">
        <v>35.130000000000003</v>
      </c>
      <c r="G10" s="17"/>
      <c r="H10" s="17"/>
      <c r="I10" s="17">
        <v>179.76999999999998</v>
      </c>
    </row>
    <row r="11" spans="1:9" x14ac:dyDescent="0.2">
      <c r="A11" s="16" t="s">
        <v>41</v>
      </c>
      <c r="B11" s="17"/>
      <c r="C11" s="17"/>
      <c r="D11" s="17"/>
      <c r="E11" s="17"/>
      <c r="F11" s="17"/>
      <c r="G11" s="17"/>
      <c r="H11" s="17">
        <v>35.71</v>
      </c>
      <c r="I11" s="17">
        <v>35.71</v>
      </c>
    </row>
    <row r="12" spans="1:9" x14ac:dyDescent="0.2">
      <c r="A12" s="16" t="s">
        <v>44</v>
      </c>
      <c r="B12" s="17"/>
      <c r="C12" s="17"/>
      <c r="D12" s="17">
        <v>55.1</v>
      </c>
      <c r="E12" s="17">
        <v>113.1</v>
      </c>
      <c r="F12" s="17"/>
      <c r="G12" s="17"/>
      <c r="H12" s="17"/>
      <c r="I12" s="17">
        <v>168.2</v>
      </c>
    </row>
    <row r="13" spans="1:9" x14ac:dyDescent="0.2">
      <c r="A13" s="16" t="s">
        <v>47</v>
      </c>
      <c r="B13" s="17"/>
      <c r="C13" s="17"/>
      <c r="D13" s="17"/>
      <c r="E13" s="17">
        <v>99.64</v>
      </c>
      <c r="F13" s="17"/>
      <c r="G13" s="17"/>
      <c r="H13" s="17">
        <v>2.64</v>
      </c>
      <c r="I13" s="17">
        <v>102.28</v>
      </c>
    </row>
    <row r="14" spans="1:9" x14ac:dyDescent="0.2">
      <c r="A14" s="16" t="s">
        <v>49</v>
      </c>
      <c r="B14" s="17"/>
      <c r="C14" s="17"/>
      <c r="D14" s="17"/>
      <c r="E14" s="17"/>
      <c r="F14" s="17"/>
      <c r="G14" s="17">
        <v>66.98</v>
      </c>
      <c r="H14" s="17"/>
      <c r="I14" s="17">
        <v>66.98</v>
      </c>
    </row>
    <row r="15" spans="1:9" x14ac:dyDescent="0.2">
      <c r="A15" s="16" t="s">
        <v>50</v>
      </c>
      <c r="B15" s="17"/>
      <c r="C15" s="17"/>
      <c r="D15" s="17"/>
      <c r="E15" s="17">
        <v>139.11000000000001</v>
      </c>
      <c r="F15" s="17"/>
      <c r="G15" s="17"/>
      <c r="H15" s="17"/>
      <c r="I15" s="17">
        <v>139.11000000000001</v>
      </c>
    </row>
    <row r="16" spans="1:9" x14ac:dyDescent="0.2">
      <c r="A16" s="16" t="s">
        <v>66</v>
      </c>
      <c r="B16" s="17">
        <v>551.13</v>
      </c>
      <c r="C16" s="17">
        <v>92.48</v>
      </c>
      <c r="D16" s="17">
        <v>143.9</v>
      </c>
      <c r="E16" s="17">
        <v>351.85</v>
      </c>
      <c r="F16" s="17">
        <v>188.9</v>
      </c>
      <c r="G16" s="17">
        <v>146.82999999999998</v>
      </c>
      <c r="H16" s="17">
        <v>122.56000000000002</v>
      </c>
      <c r="I16" s="17">
        <v>1597.65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Education Web App Elementari</vt:lpstr>
      <vt:lpstr>Città</vt:lpstr>
      <vt:lpstr>Tabella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Stefano Nocco</cp:lastModifiedBy>
  <dcterms:modified xsi:type="dcterms:W3CDTF">2024-11-14T08:52:40Z</dcterms:modified>
</cp:coreProperties>
</file>